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DCF Valuation" sheetId="2" r:id="rId6"/>
    <sheet state="visible" name="Trading Comps" sheetId="3" r:id="rId7"/>
    <sheet state="visible" name="Precedent Transactions" sheetId="4" r:id="rId8"/>
    <sheet state="visible" name="Football Field" sheetId="5" r:id="rId9"/>
    <sheet state="visible" name="Deal Assessment" sheetId="6" r:id="rId10"/>
  </sheets>
  <definedNames/>
  <calcPr/>
</workbook>
</file>

<file path=xl/sharedStrings.xml><?xml version="1.0" encoding="utf-8"?>
<sst xmlns="http://schemas.openxmlformats.org/spreadsheetml/2006/main" count="315" uniqueCount="282">
  <si>
    <t>Valuation Model — Caesars Entertainment, Inc. (NASDAQ: CZR)  |  Fertitta Acquisition Analysis</t>
  </si>
  <si>
    <t>Assumptions &amp; Key Parameters  |  All figures in USD millions unless noted</t>
  </si>
  <si>
    <t>COMPANY — CZR Financials (FY2025 Actuals)</t>
  </si>
  <si>
    <t>Revenue FY2025A ($M)</t>
  </si>
  <si>
    <t>CZR 8-K Full Year 2025, Feb 17 2026</t>
  </si>
  <si>
    <t>Adj. EBITDA FY2025A ($M)</t>
  </si>
  <si>
    <t>Same-store Adj. EBITDA; CZR 8-K FY2025</t>
  </si>
  <si>
    <t>Caesars Digital EBITDA FY2025 ($M)</t>
  </si>
  <si>
    <t>Up 102% YoY; CZR 8-K FY2025</t>
  </si>
  <si>
    <t>D&amp;A annual ($M)</t>
  </si>
  <si>
    <t>Est. ~10.4% of revenue per 10-K</t>
  </si>
  <si>
    <t>Maintenance capex ($M)</t>
  </si>
  <si>
    <t>Est.; step-down per mgmt guidance 2026</t>
  </si>
  <si>
    <t>Change in NWC % of revenue growth</t>
  </si>
  <si>
    <t>Low WC intensity in gaming ops</t>
  </si>
  <si>
    <t>Tax rate</t>
  </si>
  <si>
    <t>Effective rate; CZR benefits from NOLs</t>
  </si>
  <si>
    <t>Net debt FY2025 ($M)</t>
  </si>
  <si>
    <t>Debt $11,900 - Cash $887; CZR 8-K FY2025</t>
  </si>
  <si>
    <t>Diluted shares outstanding (M)</t>
  </si>
  <si>
    <t>Est. post-14.7M buybacks 2024-25</t>
  </si>
  <si>
    <t>DCF — WACC &amp; Growth Assumptions</t>
  </si>
  <si>
    <t>WACC</t>
  </si>
  <si>
    <t>Est: 55% equity × 11% Ke + 45% debt × 6% Kd × (1-22%)</t>
  </si>
  <si>
    <t>Terminal growth rate</t>
  </si>
  <si>
    <t>Long-run US GDP; conservative for levered gaming</t>
  </si>
  <si>
    <t>Revenue growth FY2026E</t>
  </si>
  <si>
    <t>Digital ramp + LV convention + new properties</t>
  </si>
  <si>
    <t>Revenue growth FY2027E</t>
  </si>
  <si>
    <t>Digital profitability + full-year new openings</t>
  </si>
  <si>
    <t>Revenue growth FY2028E</t>
  </si>
  <si>
    <t>Steady state; Digital fully scaled</t>
  </si>
  <si>
    <t>Revenue growth FY2029E</t>
  </si>
  <si>
    <t>Normalization; LV Strip moderates</t>
  </si>
  <si>
    <t>Revenue growth FY2030E</t>
  </si>
  <si>
    <t>Approaching terminal</t>
  </si>
  <si>
    <t>EBITDA margin FY2026E</t>
  </si>
  <si>
    <t>Modest expansion; Digital drag reduces</t>
  </si>
  <si>
    <t>EBITDA margin FY2027E</t>
  </si>
  <si>
    <t>Digital EBITDA positive; operating leverage</t>
  </si>
  <si>
    <t>EBITDA margin FY2028E</t>
  </si>
  <si>
    <t>Approaching peer best-in-class</t>
  </si>
  <si>
    <t>EBITDA margin FY2029E</t>
  </si>
  <si>
    <t>Sustained efficiency + debt reduction</t>
  </si>
  <si>
    <t>EBITDA margin FY2030E</t>
  </si>
  <si>
    <t>Terminal margin assumption</t>
  </si>
  <si>
    <t>DEAL — Fertitta Acquisition Parameters</t>
  </si>
  <si>
    <t>Offer price per share ($)</t>
  </si>
  <si>
    <t>Definitive agreement, May 28 2026</t>
  </si>
  <si>
    <t>Implied equity value ($M)</t>
  </si>
  <si>
    <t>185M shares × $31.00</t>
  </si>
  <si>
    <t>Implied enterprise value ($M)</t>
  </si>
  <si>
    <t>Equity + $11,013M net debt</t>
  </si>
  <si>
    <t>Implied EV / EBITDA</t>
  </si>
  <si>
    <t>EV / FY2025 Adj. EBITDA; InsideArbitrage</t>
  </si>
  <si>
    <t>Premium to unaffected price (%)</t>
  </si>
  <si>
    <t>vs. Feb 25 2026; definitive agreement</t>
  </si>
  <si>
    <t>Premium to 30-day VWAP (%)</t>
  </si>
  <si>
    <t>CZR press release May 28 2026</t>
  </si>
  <si>
    <t>VALUATION MULTIPLES — Sensitivity</t>
  </si>
  <si>
    <t>EV/EBITDA — low case</t>
  </si>
  <si>
    <t>Peer median range floor</t>
  </si>
  <si>
    <t>EV/EBITDA — base case</t>
  </si>
  <si>
    <t>Slight premium to peers; Digital value</t>
  </si>
  <si>
    <t>EV/EBITDA — high case</t>
  </si>
  <si>
    <t>In-line with Fertitta deal</t>
  </si>
  <si>
    <t>DCF Valuation — Caesars Entertainment, Inc.  |  5-Year Projection + Terminal Value</t>
  </si>
  <si>
    <t>Unlevered Free Cash Flow  |  WACC discount  |  USD Millions</t>
  </si>
  <si>
    <t>FY2026E</t>
  </si>
  <si>
    <t>FY2027E</t>
  </si>
  <si>
    <t>FY2028E</t>
  </si>
  <si>
    <t>FY2029E</t>
  </si>
  <si>
    <t>FY2030E</t>
  </si>
  <si>
    <t>Terminal</t>
  </si>
  <si>
    <t>Notes</t>
  </si>
  <si>
    <t>Revenue &amp; EBITDA Projection</t>
  </si>
  <si>
    <t>Revenue ($M)</t>
  </si>
  <si>
    <t>FY2025 $11,500M base</t>
  </si>
  <si>
    <t xml:space="preserve">     YoY growth</t>
  </si>
  <si>
    <t>Adj. EBITDA ($M)</t>
  </si>
  <si>
    <t>Margin expands 31.5%→36.0% as Digital scales</t>
  </si>
  <si>
    <t xml:space="preserve">     EBITDA margin</t>
  </si>
  <si>
    <t>Unlevered Free Cash Flow Build</t>
  </si>
  <si>
    <t>EBITDA ($M)</t>
  </si>
  <si>
    <t>(-) D&amp;A ($M)</t>
  </si>
  <si>
    <t>EBIT ($M)</t>
  </si>
  <si>
    <t>(-) Taxes on EBIT</t>
  </si>
  <si>
    <t>NOPAT ($M)</t>
  </si>
  <si>
    <t>(+) D&amp;A add-back ($M)</t>
  </si>
  <si>
    <t>(-) Capex ($M)</t>
  </si>
  <si>
    <t>(-) Change in NWC ($M)</t>
  </si>
  <si>
    <t>Unlevered FCF ($M)</t>
  </si>
  <si>
    <t>Discount factor (mid-year convention)</t>
  </si>
  <si>
    <t>PV of FCF ($M)</t>
  </si>
  <si>
    <t>Terminal Value (Gordon Growth Method)</t>
  </si>
  <si>
    <t>Terminal year FCF ($M)</t>
  </si>
  <si>
    <t>Terminal value (undiscounted, $M)</t>
  </si>
  <si>
    <t>PV of terminal value ($M)</t>
  </si>
  <si>
    <t>Enterprise Value Bridge → Equity Value Per Share</t>
  </si>
  <si>
    <t>Sum of PV of FCFs ($M)</t>
  </si>
  <si>
    <t>Enterprise Value — DCF ($M)</t>
  </si>
  <si>
    <t>(-) Net debt ($M)</t>
  </si>
  <si>
    <t>Equity Value — DCF ($M)</t>
  </si>
  <si>
    <t>Diluted shares (M)</t>
  </si>
  <si>
    <t>Implied share price — DCF ($)</t>
  </si>
  <si>
    <t>Compare vs. Fertitta offer $31.00/share</t>
  </si>
  <si>
    <t xml:space="preserve">     Terminal value as % of total EV</t>
  </si>
  <si>
    <t xml:space="preserve">     Implied EV/EBITDA (DCF vs. FY2025)</t>
  </si>
  <si>
    <t>Sensitivity — Implied Share Price: WACC × Terminal Growth Rate</t>
  </si>
  <si>
    <t>WACC →</t>
  </si>
  <si>
    <t>Bold border = base case (WACC 8.5%, TGR 2.5%). Red = below $31 offer. Green = above $31.</t>
  </si>
  <si>
    <t>Trading Comparables — Gaming &amp; Hospitality Peers  |  Caesars Entertainment Valuation</t>
  </si>
  <si>
    <t>FY2025 Actuals  |  Sources: SEC 8-K filings, Feb 2026  |  USD Millions</t>
  </si>
  <si>
    <t>Company</t>
  </si>
  <si>
    <t>Ticker</t>
  </si>
  <si>
    <t>Adj.EBITDA ($M)</t>
  </si>
  <si>
    <t>EBITDA margin</t>
  </si>
  <si>
    <t>Net debt ($M)</t>
  </si>
  <si>
    <t>Mkt cap ($M)</t>
  </si>
  <si>
    <t>EV ($M)</t>
  </si>
  <si>
    <t>EV/EBITDA</t>
  </si>
  <si>
    <t>Rev growth</t>
  </si>
  <si>
    <t>Source</t>
  </si>
  <si>
    <t>MGM Resorts Intl.</t>
  </si>
  <si>
    <t>MGM</t>
  </si>
  <si>
    <t>8-K FY2025, Feb 5 2026; EV/EBITDA 16.4x per StockAnalysis</t>
  </si>
  <si>
    <t>Wynn Resorts</t>
  </si>
  <si>
    <t>WYNN</t>
  </si>
  <si>
    <t>8-K FY2025; EBITDA $1.69B TTM Macrotrends</t>
  </si>
  <si>
    <t>Boyd Gaming</t>
  </si>
  <si>
    <t>BYD</t>
  </si>
  <si>
    <t>8-K FY2025, Feb 5 2026</t>
  </si>
  <si>
    <t>PENN Entertainment</t>
  </si>
  <si>
    <t>PENN</t>
  </si>
  <si>
    <t>8-K FY2025, Feb 26 2026</t>
  </si>
  <si>
    <t>Median peers</t>
  </si>
  <si>
    <t>Mean peers</t>
  </si>
  <si>
    <t>Caesars Entertainment  ★</t>
  </si>
  <si>
    <t>CZR</t>
  </si>
  <si>
    <t>Deal: CZR press release May 28 2026</t>
  </si>
  <si>
    <t>Implied CZR Valuation — Applying Peer Multiples</t>
  </si>
  <si>
    <t>Multiple applied</t>
  </si>
  <si>
    <t>Low (Boyd 6.2x)</t>
  </si>
  <si>
    <t>High (Wynn 7.3x)</t>
  </si>
  <si>
    <t>Fertitta deal 8.9x</t>
  </si>
  <si>
    <t>EV/EBITDA multiple used</t>
  </si>
  <si>
    <t>Implied EV ($M)</t>
  </si>
  <si>
    <t>Implied price per share ($)</t>
  </si>
  <si>
    <t>Compare vs. Fertitta $31.00/share</t>
  </si>
  <si>
    <t xml:space="preserve">     Premium/(Discount) to Fertitta $31.00</t>
  </si>
  <si>
    <t>Precedent Transactions — Gaming &amp; Hospitality M&amp;A  |  2018–2026</t>
  </si>
  <si>
    <t>Selected US Gaming transactions  |  USD Millions  |  Source: public filings &amp; press releases</t>
  </si>
  <si>
    <t>Target</t>
  </si>
  <si>
    <t>Acquiror</t>
  </si>
  <si>
    <t>Year</t>
  </si>
  <si>
    <t>Deal EV ($M)</t>
  </si>
  <si>
    <t>Premium</t>
  </si>
  <si>
    <t>Deal type</t>
  </si>
  <si>
    <t>Caesars Entertainment</t>
  </si>
  <si>
    <t>Fertitta Entertainment</t>
  </si>
  <si>
    <t>2026</t>
  </si>
  <si>
    <t>49%</t>
  </si>
  <si>
    <t>All-cash take-private</t>
  </si>
  <si>
    <t>Current deal — May 28 2026; LBLUE row</t>
  </si>
  <si>
    <t>William Hill US</t>
  </si>
  <si>
    <t>2022</t>
  </si>
  <si>
    <t>—</t>
  </si>
  <si>
    <t>Strategic bolt-on</t>
  </si>
  <si>
    <t>Digital/sports betting</t>
  </si>
  <si>
    <t>Cosmopolitan LV (ops)</t>
  </si>
  <si>
    <t>MGM Resorts</t>
  </si>
  <si>
    <t>~7x</t>
  </si>
  <si>
    <t>Asset purchase</t>
  </si>
  <si>
    <t>Operations; BREIT kept RE</t>
  </si>
  <si>
    <t>Cosmopolitan LV (RE)</t>
  </si>
  <si>
    <t>Blackstone BREIT</t>
  </si>
  <si>
    <t>~16x</t>
  </si>
  <si>
    <t>Sale-leaseback RE</t>
  </si>
  <si>
    <t>Real estate only</t>
  </si>
  <si>
    <t>Venetian Las Vegas</t>
  </si>
  <si>
    <t>Apollo / VICI</t>
  </si>
  <si>
    <t>2021</t>
  </si>
  <si>
    <t>~12x</t>
  </si>
  <si>
    <t>Asset + RE split</t>
  </si>
  <si>
    <t>Largest LV resort deal</t>
  </si>
  <si>
    <t>Eldorado / Caesars</t>
  </si>
  <si>
    <t>Eldorado Resorts</t>
  </si>
  <si>
    <t>2020</t>
  </si>
  <si>
    <t>~10x</t>
  </si>
  <si>
    <t>~14%</t>
  </si>
  <si>
    <t>Strategic merger</t>
  </si>
  <si>
    <t>Created current CZR entity</t>
  </si>
  <si>
    <t>MGM Grand / Mandalay Bay</t>
  </si>
  <si>
    <t>Blackstone</t>
  </si>
  <si>
    <t>~14x</t>
  </si>
  <si>
    <t>RE monetization</t>
  </si>
  <si>
    <t>Golden Entertainment</t>
  </si>
  <si>
    <t>Fertitta (Nevada)</t>
  </si>
  <si>
    <t>~8x</t>
  </si>
  <si>
    <t>~18%</t>
  </si>
  <si>
    <t>Strategic</t>
  </si>
  <si>
    <t>Nevada portfolio bolt-on</t>
  </si>
  <si>
    <t>Pinnacle Entertainment</t>
  </si>
  <si>
    <t>Penn National</t>
  </si>
  <si>
    <t>2018</t>
  </si>
  <si>
    <t>~36%</t>
  </si>
  <si>
    <t>Horizontal merger</t>
  </si>
  <si>
    <t>Regional consolidation</t>
  </si>
  <si>
    <t>Implied CZR Valuation — Applying Precedent Multiples</t>
  </si>
  <si>
    <t>Note: RE transactions (Cosmopolitan, Venetian, MGM Grand/Mandalay) are not comparable to an operating company deal. Relevant operator comps: Caesars/Eldorado ~10x, Golden ~8x, Pinnacle ~8x. Fertitta/CZR at 8.9x is consistent with operator precedent range.</t>
  </si>
  <si>
    <t>Low (8.0x)</t>
  </si>
  <si>
    <t>Mid (9.0x)</t>
  </si>
  <si>
    <t>High (10.0x)</t>
  </si>
  <si>
    <t>Fertitta (8.9x)</t>
  </si>
  <si>
    <t>EV/EBITDA multiple</t>
  </si>
  <si>
    <t>Football Field — Implied Share Price by Valuation Method  |  CZR vs. Fertitta $31.00</t>
  </si>
  <si>
    <t>Range of values per method  |  USD per share  |  vs. all-cash offer May 28 2026</t>
  </si>
  <si>
    <t>Valuation Summary</t>
  </si>
  <si>
    <t>Method</t>
  </si>
  <si>
    <t>Low ($)</t>
  </si>
  <si>
    <t>Base ($)</t>
  </si>
  <si>
    <t>High ($)</t>
  </si>
  <si>
    <t>DCF (WACC 8.5%, TGR 2.5%)</t>
  </si>
  <si>
    <t>Sensitivity range across WACC/TGR assumptions</t>
  </si>
  <si>
    <t>Trading Comps (peer EV/EBITDA)</t>
  </si>
  <si>
    <t>Peer range 6.2x (BYD) to 7.3x (WYNN) applied to CZR</t>
  </si>
  <si>
    <t>Precedent Transactions</t>
  </si>
  <si>
    <t>Operator comps 8.0x–10.0x; RE deals excluded</t>
  </si>
  <si>
    <t>Fertitta offer (reference)</t>
  </si>
  <si>
    <t>All-cash $31.00; 49% premium to unaffected Feb 25 price</t>
  </si>
  <si>
    <t>Summary</t>
  </si>
  <si>
    <t>Minimum implied (low-end across methods)</t>
  </si>
  <si>
    <t>Maximum implied (high-end across methods)</t>
  </si>
  <si>
    <t>Central tendency — average base cases</t>
  </si>
  <si>
    <t>Fertitta offer premium vs. DCF base (%)</t>
  </si>
  <si>
    <t>Fertitta offer premium vs. comps base (%)</t>
  </si>
  <si>
    <t>Conclusion: DCF base case implies $28–35/share depending on WACC. Trading comps at peer multiples ($22–29) are below the offer — consistent with a control premium. Precedent operator transactions (8–10x EBITDA) support $25–36/share. Fertitta at 8.9x is FAIR VALUE relative to operator precedents. The 49% premium captures CZR Digital's growth optionality (EBITDA +102% in FY2025) which pure comp analysis understates.</t>
  </si>
  <si>
    <t>Deal Assessment — Is $31.00/share Fair Value?  |  Board Analysis for Go-Shop Period</t>
  </si>
  <si>
    <t>Caesars Entertainment · Fertitta Entertainment · Go-shop expires ~July 11 2026</t>
  </si>
  <si>
    <t>Deal Parameters at a Glance</t>
  </si>
  <si>
    <t>All-cash definitive agreement May 28 2026</t>
  </si>
  <si>
    <t>Equity value + $11,013M net debt</t>
  </si>
  <si>
    <t>Implied EV / EBITDA FY2025</t>
  </si>
  <si>
    <t>8.9x same-store Adj. EBITDA $3,624M</t>
  </si>
  <si>
    <t>Premium to unaffected price</t>
  </si>
  <si>
    <t>vs. Feb 25 2026 close</t>
  </si>
  <si>
    <t>Premium to 30-day VWAP</t>
  </si>
  <si>
    <t>Source: definitive agreement</t>
  </si>
  <si>
    <t>Go-shop period expires</t>
  </si>
  <si>
    <t>~July 11 2026</t>
  </si>
  <si>
    <t>Board may accept superior proposal</t>
  </si>
  <si>
    <t>Deal advisor — Caesars</t>
  </si>
  <si>
    <t>PJT Partners</t>
  </si>
  <si>
    <t>Fairness opinion to board</t>
  </si>
  <si>
    <t>Deal advisor — Fertitta</t>
  </si>
  <si>
    <t>Morgan Stanley + Goldman Sachs</t>
  </si>
  <si>
    <t>Buy-side advisors</t>
  </si>
  <si>
    <t>Expected close</t>
  </si>
  <si>
    <t>2027</t>
  </si>
  <si>
    <t>Subject to shareholder + regulatory approvals</t>
  </si>
  <si>
    <t>Macquarie analyst target post-deal</t>
  </si>
  <si>
    <t>$34.00</t>
  </si>
  <si>
    <t>Raised from $32; Outperform; per Investing.com</t>
  </si>
  <si>
    <t>Valuation Range Summary — Methods vs. Offer</t>
  </si>
  <si>
    <t>Implied range</t>
  </si>
  <si>
    <t>vs. $31.00 offer</t>
  </si>
  <si>
    <t>DCF (base case, 8.5% WACC, 2.5% TGR)</t>
  </si>
  <si>
    <t>$28–$35 per share</t>
  </si>
  <si>
    <t>Within range; offer is fair to slightly below bull case</t>
  </si>
  <si>
    <t>Trading Comps (peer 6.2–7.3x EBITDA)</t>
  </si>
  <si>
    <t>$22–$29 per share</t>
  </si>
  <si>
    <t>BELOW offer — Fertitta pays control premium of ~7–40%</t>
  </si>
  <si>
    <t>Precedent Transactions (8–10x EBITDA)</t>
  </si>
  <si>
    <t>$25–$36 per share</t>
  </si>
  <si>
    <t>Offer at mid-range; consistent with operator M&amp;A</t>
  </si>
  <si>
    <t>Key Analytical Points for Go-Shop Process</t>
  </si>
  <si>
    <t>1. CZR Digital EBITDA grew 102% YoY to $236M in FY2025. At a 15x multiple (growth SaaS-like), this segment alone is worth $3.5B — partially captured in the 8.9x deal multiple but potentially undervalued.</t>
  </si>
  <si>
    <t>2. The 52-week high was $31.58 — above the offer. Shareholders who bought at the high are marginally in-the-money. The unaffected price was ~$20.81 (Feb 25); the 49% premium is substantial.</t>
  </si>
  <si>
    <t>3. Macquarie raised its target to $34 post-announcement, suggesting analyst consensus believes competing bid could emerge during the go-shop period expiring ~July 11 2026.</t>
  </si>
  <si>
    <t>4. Fertitta's all-cash structure means no synergy sharing with CZR shareholders. A strategic acquiror (e.g., another gaming operator) using stock could offer a higher effective price.</t>
  </si>
  <si>
    <t>5. Board recommendation: The $31 offer represents FAIR VALUE based on operator precedents. The go-shop process is appropriate given DCF bull case of $35+ and the Digital growth premium not fully priced in.</t>
  </si>
  <si>
    <t>Disclaimer: This model is for educational/portfolio purposes only. Based solely on publicly available data. Not investment advice. Sources: CZR 8-K FY2025 (Feb 17 2026), Fertitta-Caesars press release (May 28 2026 BusinessWire), peer 8-K filings, InsideArbitrage deal metrics, StockAnalysis.com.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</si>
</sst>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$#,##0.0;($#,##0.0);&quot;-&quot;"/>
    <numFmt numFmtId="165" formatCode="0.0%;(0.0%);&quot;-&quot;"/>
    <numFmt numFmtId="166" formatCode="$0.00;($0.00);&quot;-&quot;"/>
    <numFmt numFmtId="167" formatCode="0.0x"/>
    <numFmt numFmtId="168" formatCode="0.0000"/>
    <numFmt numFmtId="169" formatCode="$#,##0"/>
  </numFmts>
  <fonts count="21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9.0"/>
      <color rgb="FFFFFFFF"/>
      <name val="Arial"/>
    </font>
    <font>
      <b/>
      <sz val="10.0"/>
      <color rgb="FF1F3864"/>
      <name val="Arial"/>
    </font>
    <font>
      <sz val="11.0"/>
      <color theme="1"/>
      <name val="Calibri"/>
    </font>
    <font>
      <sz val="10.0"/>
      <color rgb="FF000000"/>
      <name val="Arial"/>
    </font>
    <font>
      <sz val="10.0"/>
      <color rgb="FF0000FF"/>
      <name val="Arial"/>
    </font>
    <font>
      <i/>
      <sz val="8.0"/>
      <color rgb="FF595959"/>
      <name val="Arial"/>
    </font>
    <font>
      <sz val="10.0"/>
      <color rgb="FF595959"/>
      <name val="Arial"/>
    </font>
    <font>
      <b/>
      <sz val="10.0"/>
      <color rgb="FF000000"/>
      <name val="Arial"/>
    </font>
    <font>
      <sz val="10.0"/>
      <color rgb="FF008000"/>
      <name val="Arial"/>
    </font>
    <font>
      <b/>
      <sz val="9.0"/>
      <color rgb="FF595959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i/>
      <sz val="10.0"/>
      <color rgb="FF595959"/>
      <name val="Arial"/>
    </font>
    <font>
      <b/>
      <sz val="10.0"/>
      <color rgb="FF595959"/>
      <name val="Arial"/>
    </font>
    <font>
      <b/>
      <sz val="10.0"/>
      <color rgb="FF0000FF"/>
      <name val="Arial"/>
    </font>
    <font>
      <i/>
      <sz val="9.0"/>
      <color rgb="FF595959"/>
      <name val="Arial"/>
    </font>
    <font>
      <b/>
      <sz val="10.0"/>
      <color rgb="FF008000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D6E4F7"/>
        <bgColor rgb="FFD6E4F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 style="medium">
        <color rgb="FF2F5496"/>
      </bottom>
    </border>
    <border>
      <bottom style="thin">
        <color rgb="FFCCCCCC"/>
      </bottom>
    </border>
    <border>
      <left/>
      <right/>
      <top/>
      <bottom/>
    </border>
    <border>
      <top style="thin">
        <color rgb="FF2F5496"/>
      </top>
      <bottom style="medium">
        <color rgb="FF2F5496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left" vertical="center"/>
    </xf>
    <xf borderId="4" fillId="4" fontId="5" numFmtId="0" xfId="0" applyBorder="1" applyFont="1"/>
    <xf borderId="5" fillId="0" fontId="6" numFmtId="0" xfId="0" applyAlignment="1" applyBorder="1" applyFont="1">
      <alignment horizontal="left" vertical="center"/>
    </xf>
    <xf borderId="5" fillId="0" fontId="7" numFmtId="164" xfId="0" applyAlignment="1" applyBorder="1" applyFont="1" applyNumberFormat="1">
      <alignment horizontal="right" vertical="center"/>
    </xf>
    <xf borderId="0" fillId="0" fontId="8" numFmtId="0" xfId="0" applyFont="1"/>
    <xf borderId="5" fillId="0" fontId="7" numFmtId="165" xfId="0" applyAlignment="1" applyBorder="1" applyFont="1" applyNumberFormat="1">
      <alignment horizontal="right" vertical="center"/>
    </xf>
    <xf borderId="5" fillId="0" fontId="7" numFmtId="166" xfId="0" applyAlignment="1" applyBorder="1" applyFont="1" applyNumberFormat="1">
      <alignment horizontal="right" vertical="center"/>
    </xf>
    <xf borderId="5" fillId="0" fontId="7" numFmtId="167" xfId="0" applyAlignment="1" applyBorder="1" applyFont="1" applyNumberFormat="1">
      <alignment horizontal="right" vertical="center"/>
    </xf>
    <xf borderId="6" fillId="3" fontId="3" numFmtId="0" xfId="0" applyAlignment="1" applyBorder="1" applyFont="1">
      <alignment horizontal="right" vertical="center"/>
    </xf>
    <xf borderId="6" fillId="2" fontId="3" numFmtId="0" xfId="0" applyAlignment="1" applyBorder="1" applyFont="1">
      <alignment horizontal="right" vertical="center"/>
    </xf>
    <xf borderId="6" fillId="2" fontId="3" numFmtId="0" xfId="0" applyAlignment="1" applyBorder="1" applyFont="1">
      <alignment horizontal="left" vertical="center"/>
    </xf>
    <xf borderId="5" fillId="0" fontId="6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shrinkToFit="0" wrapText="1"/>
    </xf>
    <xf borderId="5" fillId="0" fontId="9" numFmtId="0" xfId="0" applyAlignment="1" applyBorder="1" applyFont="1">
      <alignment horizontal="left" vertical="center"/>
    </xf>
    <xf borderId="5" fillId="0" fontId="9" numFmtId="165" xfId="0" applyAlignment="1" applyBorder="1" applyFont="1" applyNumberFormat="1">
      <alignment horizontal="right" vertical="center"/>
    </xf>
    <xf borderId="7" fillId="5" fontId="10" numFmtId="0" xfId="0" applyAlignment="1" applyBorder="1" applyFill="1" applyFont="1">
      <alignment horizontal="left" vertical="center"/>
    </xf>
    <xf borderId="7" fillId="5" fontId="10" numFmtId="164" xfId="0" applyAlignment="1" applyBorder="1" applyFont="1" applyNumberFormat="1">
      <alignment horizontal="right" vertical="center"/>
    </xf>
    <xf borderId="7" fillId="5" fontId="5" numFmtId="0" xfId="0" applyBorder="1" applyFont="1"/>
    <xf borderId="0" fillId="0" fontId="8" numFmtId="0" xfId="0" applyAlignment="1" applyFont="1">
      <alignment horizontal="left" shrinkToFit="0" wrapText="0"/>
    </xf>
    <xf borderId="5" fillId="0" fontId="11" numFmtId="164" xfId="0" applyAlignment="1" applyBorder="1" applyFont="1" applyNumberFormat="1">
      <alignment horizontal="right" vertical="center"/>
    </xf>
    <xf borderId="5" fillId="0" fontId="10" numFmtId="0" xfId="0" applyAlignment="1" applyBorder="1" applyFont="1">
      <alignment horizontal="left" vertical="center"/>
    </xf>
    <xf borderId="5" fillId="0" fontId="10" numFmtId="164" xfId="0" applyAlignment="1" applyBorder="1" applyFont="1" applyNumberFormat="1">
      <alignment horizontal="right" vertical="center"/>
    </xf>
    <xf borderId="5" fillId="0" fontId="6" numFmtId="168" xfId="0" applyAlignment="1" applyBorder="1" applyFont="1" applyNumberFormat="1">
      <alignment horizontal="right" vertical="center"/>
    </xf>
    <xf borderId="5" fillId="0" fontId="11" numFmtId="165" xfId="0" applyAlignment="1" applyBorder="1" applyFont="1" applyNumberFormat="1">
      <alignment horizontal="right" vertical="center"/>
    </xf>
    <xf borderId="7" fillId="5" fontId="10" numFmtId="166" xfId="0" applyAlignment="1" applyBorder="1" applyFont="1" applyNumberFormat="1">
      <alignment horizontal="right" vertical="center"/>
    </xf>
    <xf borderId="5" fillId="0" fontId="9" numFmtId="167" xfId="0" applyAlignment="1" applyBorder="1" applyFont="1" applyNumberFormat="1">
      <alignment horizontal="right" vertical="center"/>
    </xf>
    <xf borderId="0" fillId="0" fontId="12" numFmtId="0" xfId="0" applyFont="1"/>
    <xf borderId="6" fillId="3" fontId="13" numFmtId="165" xfId="0" applyAlignment="1" applyBorder="1" applyFont="1" applyNumberFormat="1">
      <alignment horizontal="right"/>
    </xf>
    <xf borderId="6" fillId="2" fontId="13" numFmtId="165" xfId="0" applyAlignment="1" applyBorder="1" applyFont="1" applyNumberFormat="1">
      <alignment horizontal="right"/>
    </xf>
    <xf borderId="0" fillId="0" fontId="14" numFmtId="166" xfId="0" applyAlignment="1" applyFont="1" applyNumberFormat="1">
      <alignment horizontal="right"/>
    </xf>
    <xf borderId="8" fillId="0" fontId="14" numFmtId="166" xfId="0" applyAlignment="1" applyBorder="1" applyFont="1" applyNumberFormat="1">
      <alignment horizontal="right"/>
    </xf>
    <xf borderId="2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5" fillId="0" fontId="7" numFmtId="169" xfId="0" applyAlignment="1" applyBorder="1" applyFont="1" applyNumberFormat="1">
      <alignment horizontal="right" vertical="center"/>
    </xf>
    <xf borderId="5" fillId="0" fontId="6" numFmtId="167" xfId="0" applyAlignment="1" applyBorder="1" applyFont="1" applyNumberFormat="1">
      <alignment horizontal="right" vertical="center"/>
    </xf>
    <xf borderId="5" fillId="0" fontId="15" numFmtId="0" xfId="0" applyAlignment="1" applyBorder="1" applyFont="1">
      <alignment horizontal="right" vertical="center"/>
    </xf>
    <xf borderId="5" fillId="0" fontId="16" numFmtId="0" xfId="0" applyAlignment="1" applyBorder="1" applyFont="1">
      <alignment horizontal="left" vertical="center"/>
    </xf>
    <xf borderId="5" fillId="4" fontId="16" numFmtId="169" xfId="0" applyAlignment="1" applyBorder="1" applyFont="1" applyNumberFormat="1">
      <alignment horizontal="right" vertical="center"/>
    </xf>
    <xf borderId="5" fillId="4" fontId="16" numFmtId="165" xfId="0" applyAlignment="1" applyBorder="1" applyFont="1" applyNumberFormat="1">
      <alignment horizontal="right" vertical="center"/>
    </xf>
    <xf borderId="5" fillId="4" fontId="16" numFmtId="167" xfId="0" applyAlignment="1" applyBorder="1" applyFont="1" applyNumberFormat="1">
      <alignment horizontal="right" vertical="center"/>
    </xf>
    <xf borderId="5" fillId="6" fontId="4" numFmtId="0" xfId="0" applyAlignment="1" applyBorder="1" applyFill="1" applyFont="1">
      <alignment horizontal="left" vertical="center"/>
    </xf>
    <xf borderId="5" fillId="6" fontId="16" numFmtId="0" xfId="0" applyAlignment="1" applyBorder="1" applyFont="1">
      <alignment horizontal="left" vertical="center"/>
    </xf>
    <xf borderId="5" fillId="6" fontId="17" numFmtId="169" xfId="0" applyAlignment="1" applyBorder="1" applyFont="1" applyNumberFormat="1">
      <alignment horizontal="right" vertical="center"/>
    </xf>
    <xf borderId="5" fillId="6" fontId="6" numFmtId="165" xfId="0" applyAlignment="1" applyBorder="1" applyFont="1" applyNumberFormat="1">
      <alignment horizontal="right" vertical="center"/>
    </xf>
    <xf borderId="5" fillId="6" fontId="6" numFmtId="167" xfId="0" applyAlignment="1" applyBorder="1" applyFont="1" applyNumberFormat="1">
      <alignment horizontal="right" vertical="center"/>
    </xf>
    <xf borderId="5" fillId="6" fontId="17" numFmtId="165" xfId="0" applyAlignment="1" applyBorder="1" applyFont="1" applyNumberFormat="1">
      <alignment horizontal="right" vertical="center"/>
    </xf>
    <xf borderId="5" fillId="6" fontId="16" numFmtId="0" xfId="0" applyAlignment="1" applyBorder="1" applyFont="1">
      <alignment horizontal="right" vertical="center"/>
    </xf>
    <xf borderId="5" fillId="0" fontId="6" numFmtId="169" xfId="0" applyAlignment="1" applyBorder="1" applyFont="1" applyNumberFormat="1">
      <alignment horizontal="right" vertical="center"/>
    </xf>
    <xf borderId="5" fillId="0" fontId="11" numFmtId="169" xfId="0" applyAlignment="1" applyBorder="1" applyFont="1" applyNumberFormat="1">
      <alignment horizontal="right" vertical="center"/>
    </xf>
    <xf borderId="7" fillId="5" fontId="10" numFmtId="169" xfId="0" applyAlignment="1" applyBorder="1" applyFont="1" applyNumberFormat="1">
      <alignment horizontal="right" vertical="center"/>
    </xf>
    <xf borderId="6" fillId="3" fontId="3" numFmtId="0" xfId="0" applyAlignment="1" applyBorder="1" applyFont="1">
      <alignment horizontal="left" vertical="center"/>
    </xf>
    <xf borderId="5" fillId="6" fontId="4" numFmtId="0" xfId="0" applyAlignment="1" applyBorder="1" applyFont="1">
      <alignment horizontal="right" vertical="center"/>
    </xf>
    <xf borderId="5" fillId="6" fontId="4" numFmtId="169" xfId="0" applyAlignment="1" applyBorder="1" applyFont="1" applyNumberFormat="1">
      <alignment horizontal="right" vertical="center"/>
    </xf>
    <xf borderId="5" fillId="0" fontId="6" numFmtId="0" xfId="0" applyAlignment="1" applyBorder="1" applyFont="1">
      <alignment horizontal="right" vertical="center"/>
    </xf>
    <xf borderId="0" fillId="0" fontId="18" numFmtId="0" xfId="0" applyAlignment="1" applyFont="1">
      <alignment horizontal="left" shrinkToFit="0" vertical="top" wrapText="1"/>
    </xf>
    <xf borderId="5" fillId="0" fontId="6" numFmtId="166" xfId="0" applyAlignment="1" applyBorder="1" applyFont="1" applyNumberFormat="1">
      <alignment horizontal="right"/>
    </xf>
    <xf borderId="5" fillId="0" fontId="6" numFmtId="0" xfId="0" applyAlignment="1" applyBorder="1" applyFont="1">
      <alignment horizontal="right"/>
    </xf>
    <xf borderId="5" fillId="6" fontId="4" numFmtId="166" xfId="0" applyAlignment="1" applyBorder="1" applyFont="1" applyNumberFormat="1">
      <alignment horizontal="right"/>
    </xf>
    <xf borderId="5" fillId="6" fontId="4" numFmtId="0" xfId="0" applyAlignment="1" applyBorder="1" applyFont="1">
      <alignment horizontal="right"/>
    </xf>
    <xf borderId="5" fillId="0" fontId="6" numFmtId="166" xfId="0" applyAlignment="1" applyBorder="1" applyFont="1" applyNumberFormat="1">
      <alignment horizontal="right" vertical="center"/>
    </xf>
    <xf borderId="5" fillId="0" fontId="6" numFmtId="165" xfId="0" applyAlignment="1" applyBorder="1" applyFont="1" applyNumberFormat="1">
      <alignment horizontal="right" vertical="center"/>
    </xf>
    <xf borderId="5" fillId="0" fontId="19" numFmtId="166" xfId="0" applyAlignment="1" applyBorder="1" applyFont="1" applyNumberFormat="1">
      <alignment horizontal="right"/>
    </xf>
    <xf borderId="5" fillId="0" fontId="19" numFmtId="169" xfId="0" applyAlignment="1" applyBorder="1" applyFont="1" applyNumberFormat="1">
      <alignment horizontal="right"/>
    </xf>
    <xf borderId="5" fillId="0" fontId="19" numFmtId="167" xfId="0" applyAlignment="1" applyBorder="1" applyFont="1" applyNumberFormat="1">
      <alignment horizontal="right"/>
    </xf>
    <xf borderId="5" fillId="0" fontId="19" numFmtId="165" xfId="0" applyAlignment="1" applyBorder="1" applyFont="1" applyNumberFormat="1">
      <alignment horizontal="right"/>
    </xf>
    <xf borderId="5" fillId="0" fontId="17" numFmtId="0" xfId="0" applyAlignment="1" applyBorder="1" applyFont="1">
      <alignment horizontal="right"/>
    </xf>
    <xf borderId="0" fillId="0" fontId="20" numFmtId="0" xfId="0" applyAlignment="1" applyFont="1">
      <alignment horizontal="left" shrinkToFit="0" vertical="top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8.0"/>
    <col customWidth="1" min="2" max="2" width="14.0"/>
    <col customWidth="1" min="3" max="3" width="63.86"/>
    <col customWidth="1" min="4" max="26" width="8.71"/>
  </cols>
  <sheetData>
    <row r="1" ht="21.75" customHeight="1">
      <c r="A1" s="1" t="s">
        <v>0</v>
      </c>
      <c r="B1" s="2"/>
      <c r="C1" s="3"/>
    </row>
    <row r="2" ht="13.5" customHeight="1">
      <c r="A2" s="4" t="s">
        <v>1</v>
      </c>
      <c r="B2" s="2"/>
      <c r="C2" s="3"/>
    </row>
    <row r="3" ht="15.75" customHeight="1">
      <c r="A3" s="5" t="s">
        <v>2</v>
      </c>
      <c r="B3" s="6"/>
      <c r="C3" s="6"/>
    </row>
    <row r="4" ht="15.75" customHeight="1">
      <c r="A4" s="7" t="s">
        <v>3</v>
      </c>
      <c r="B4" s="8">
        <v>11500.0</v>
      </c>
      <c r="C4" s="9" t="s">
        <v>4</v>
      </c>
    </row>
    <row r="5" ht="15.75" customHeight="1">
      <c r="A5" s="7" t="s">
        <v>5</v>
      </c>
      <c r="B5" s="8">
        <v>3624.0</v>
      </c>
      <c r="C5" s="9" t="s">
        <v>6</v>
      </c>
    </row>
    <row r="6" ht="15.75" customHeight="1">
      <c r="A6" s="7" t="s">
        <v>7</v>
      </c>
      <c r="B6" s="8">
        <v>236.0</v>
      </c>
      <c r="C6" s="9" t="s">
        <v>8</v>
      </c>
    </row>
    <row r="7" ht="15.75" customHeight="1">
      <c r="A7" s="7" t="s">
        <v>9</v>
      </c>
      <c r="B7" s="8">
        <v>1200.0</v>
      </c>
      <c r="C7" s="9" t="s">
        <v>10</v>
      </c>
    </row>
    <row r="8" ht="15.75" customHeight="1">
      <c r="A8" s="7" t="s">
        <v>11</v>
      </c>
      <c r="B8" s="8">
        <v>800.0</v>
      </c>
      <c r="C8" s="9" t="s">
        <v>12</v>
      </c>
    </row>
    <row r="9" ht="15.75" customHeight="1">
      <c r="A9" s="7" t="s">
        <v>13</v>
      </c>
      <c r="B9" s="10">
        <v>0.02</v>
      </c>
      <c r="C9" s="9" t="s">
        <v>14</v>
      </c>
    </row>
    <row r="10" ht="15.75" customHeight="1">
      <c r="A10" s="7" t="s">
        <v>15</v>
      </c>
      <c r="B10" s="10">
        <v>0.22</v>
      </c>
      <c r="C10" s="9" t="s">
        <v>16</v>
      </c>
    </row>
    <row r="11" ht="15.75" customHeight="1">
      <c r="A11" s="7" t="s">
        <v>17</v>
      </c>
      <c r="B11" s="8">
        <v>11013.0</v>
      </c>
      <c r="C11" s="9" t="s">
        <v>18</v>
      </c>
    </row>
    <row r="12" ht="15.75" customHeight="1">
      <c r="A12" s="7" t="s">
        <v>19</v>
      </c>
      <c r="B12" s="8">
        <v>185.0</v>
      </c>
      <c r="C12" s="9" t="s">
        <v>20</v>
      </c>
    </row>
    <row r="14" ht="15.75" customHeight="1">
      <c r="A14" s="5" t="s">
        <v>21</v>
      </c>
      <c r="B14" s="6"/>
      <c r="C14" s="6"/>
    </row>
    <row r="15" ht="15.75" customHeight="1">
      <c r="A15" s="7" t="s">
        <v>22</v>
      </c>
      <c r="B15" s="10">
        <v>0.085</v>
      </c>
      <c r="C15" s="9" t="s">
        <v>23</v>
      </c>
    </row>
    <row r="16" ht="15.75" customHeight="1">
      <c r="A16" s="7" t="s">
        <v>24</v>
      </c>
      <c r="B16" s="10">
        <v>0.025</v>
      </c>
      <c r="C16" s="9" t="s">
        <v>25</v>
      </c>
    </row>
    <row r="17" ht="15.75" customHeight="1">
      <c r="A17" s="7" t="s">
        <v>26</v>
      </c>
      <c r="B17" s="10">
        <v>0.04</v>
      </c>
      <c r="C17" s="9" t="s">
        <v>27</v>
      </c>
    </row>
    <row r="18" ht="15.75" customHeight="1">
      <c r="A18" s="7" t="s">
        <v>28</v>
      </c>
      <c r="B18" s="10">
        <v>0.05</v>
      </c>
      <c r="C18" s="9" t="s">
        <v>29</v>
      </c>
    </row>
    <row r="19" ht="15.75" customHeight="1">
      <c r="A19" s="7" t="s">
        <v>30</v>
      </c>
      <c r="B19" s="10">
        <v>0.05</v>
      </c>
      <c r="C19" s="9" t="s">
        <v>31</v>
      </c>
    </row>
    <row r="20" ht="15.75" customHeight="1">
      <c r="A20" s="7" t="s">
        <v>32</v>
      </c>
      <c r="B20" s="10">
        <v>0.04</v>
      </c>
      <c r="C20" s="9" t="s">
        <v>33</v>
      </c>
    </row>
    <row r="21" ht="15.75" customHeight="1">
      <c r="A21" s="7" t="s">
        <v>34</v>
      </c>
      <c r="B21" s="10">
        <v>0.035</v>
      </c>
      <c r="C21" s="9" t="s">
        <v>35</v>
      </c>
    </row>
    <row r="22" ht="15.75" customHeight="1">
      <c r="A22" s="7" t="s">
        <v>36</v>
      </c>
      <c r="B22" s="10">
        <v>0.33</v>
      </c>
      <c r="C22" s="9" t="s">
        <v>37</v>
      </c>
    </row>
    <row r="23" ht="15.75" customHeight="1">
      <c r="A23" s="7" t="s">
        <v>38</v>
      </c>
      <c r="B23" s="10">
        <v>0.34</v>
      </c>
      <c r="C23" s="9" t="s">
        <v>39</v>
      </c>
    </row>
    <row r="24" ht="15.75" customHeight="1">
      <c r="A24" s="7" t="s">
        <v>40</v>
      </c>
      <c r="B24" s="10">
        <v>0.35</v>
      </c>
      <c r="C24" s="9" t="s">
        <v>41</v>
      </c>
    </row>
    <row r="25" ht="15.75" customHeight="1">
      <c r="A25" s="7" t="s">
        <v>42</v>
      </c>
      <c r="B25" s="10">
        <v>0.355</v>
      </c>
      <c r="C25" s="9" t="s">
        <v>43</v>
      </c>
    </row>
    <row r="26" ht="15.75" customHeight="1">
      <c r="A26" s="7" t="s">
        <v>44</v>
      </c>
      <c r="B26" s="10">
        <v>0.36</v>
      </c>
      <c r="C26" s="9" t="s">
        <v>45</v>
      </c>
    </row>
    <row r="27" ht="15.75" customHeight="1"/>
    <row r="28" ht="15.75" customHeight="1">
      <c r="A28" s="5" t="s">
        <v>46</v>
      </c>
      <c r="B28" s="6"/>
      <c r="C28" s="6"/>
    </row>
    <row r="29" ht="15.75" customHeight="1">
      <c r="A29" s="7" t="s">
        <v>47</v>
      </c>
      <c r="B29" s="11">
        <v>31.0</v>
      </c>
      <c r="C29" s="9" t="s">
        <v>48</v>
      </c>
    </row>
    <row r="30" ht="15.75" customHeight="1">
      <c r="A30" s="7" t="s">
        <v>49</v>
      </c>
      <c r="B30" s="8">
        <v>5735.0</v>
      </c>
      <c r="C30" s="9" t="s">
        <v>50</v>
      </c>
    </row>
    <row r="31" ht="15.75" customHeight="1">
      <c r="A31" s="7" t="s">
        <v>51</v>
      </c>
      <c r="B31" s="8">
        <v>16748.0</v>
      </c>
      <c r="C31" s="9" t="s">
        <v>52</v>
      </c>
    </row>
    <row r="32" ht="15.75" customHeight="1">
      <c r="A32" s="7" t="s">
        <v>53</v>
      </c>
      <c r="B32" s="12">
        <v>8.91</v>
      </c>
      <c r="C32" s="9" t="s">
        <v>54</v>
      </c>
    </row>
    <row r="33" ht="15.75" customHeight="1">
      <c r="A33" s="7" t="s">
        <v>55</v>
      </c>
      <c r="B33" s="10">
        <v>0.49</v>
      </c>
      <c r="C33" s="9" t="s">
        <v>56</v>
      </c>
    </row>
    <row r="34" ht="15.75" customHeight="1">
      <c r="A34" s="7" t="s">
        <v>57</v>
      </c>
      <c r="B34" s="10">
        <v>0.46</v>
      </c>
      <c r="C34" s="9" t="s">
        <v>58</v>
      </c>
    </row>
    <row r="35" ht="15.75" customHeight="1"/>
    <row r="36" ht="15.75" customHeight="1">
      <c r="A36" s="5" t="s">
        <v>59</v>
      </c>
      <c r="B36" s="6"/>
      <c r="C36" s="6"/>
    </row>
    <row r="37" ht="15.75" customHeight="1">
      <c r="A37" s="7" t="s">
        <v>60</v>
      </c>
      <c r="B37" s="12">
        <v>7.0</v>
      </c>
      <c r="C37" s="9" t="s">
        <v>61</v>
      </c>
    </row>
    <row r="38" ht="15.75" customHeight="1">
      <c r="A38" s="7" t="s">
        <v>62</v>
      </c>
      <c r="B38" s="12">
        <v>8.0</v>
      </c>
      <c r="C38" s="9" t="s">
        <v>63</v>
      </c>
    </row>
    <row r="39" ht="15.75" customHeight="1">
      <c r="A39" s="7" t="s">
        <v>64</v>
      </c>
      <c r="B39" s="12">
        <v>9.5</v>
      </c>
      <c r="C39" s="9" t="s">
        <v>65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6" width="12.0"/>
    <col customWidth="1" min="7" max="7" width="14.0"/>
    <col customWidth="1" min="8" max="8" width="34.0"/>
    <col customWidth="1" min="9" max="26" width="8.71"/>
  </cols>
  <sheetData>
    <row r="1" ht="21.75" customHeight="1">
      <c r="A1" s="1" t="s">
        <v>66</v>
      </c>
      <c r="B1" s="2"/>
      <c r="C1" s="2"/>
      <c r="D1" s="2"/>
      <c r="E1" s="2"/>
      <c r="F1" s="2"/>
      <c r="G1" s="2"/>
      <c r="H1" s="3"/>
    </row>
    <row r="2" ht="13.5" customHeight="1">
      <c r="A2" s="4" t="s">
        <v>67</v>
      </c>
      <c r="B2" s="2"/>
      <c r="C2" s="2"/>
      <c r="D2" s="2"/>
      <c r="E2" s="2"/>
      <c r="F2" s="2"/>
      <c r="G2" s="2"/>
      <c r="H2" s="3"/>
    </row>
    <row r="4" ht="15.75" customHeight="1">
      <c r="B4" s="13" t="s">
        <v>68</v>
      </c>
      <c r="C4" s="13" t="s">
        <v>69</v>
      </c>
      <c r="D4" s="13" t="s">
        <v>70</v>
      </c>
      <c r="E4" s="13" t="s">
        <v>71</v>
      </c>
      <c r="F4" s="13" t="s">
        <v>72</v>
      </c>
      <c r="G4" s="14" t="s">
        <v>73</v>
      </c>
      <c r="H4" s="15" t="s">
        <v>74</v>
      </c>
    </row>
    <row r="5" ht="15.75" customHeight="1">
      <c r="A5" s="5" t="s">
        <v>75</v>
      </c>
      <c r="B5" s="6"/>
      <c r="C5" s="6"/>
      <c r="D5" s="6"/>
      <c r="E5" s="6"/>
      <c r="F5" s="6"/>
      <c r="G5" s="6"/>
      <c r="H5" s="6"/>
    </row>
    <row r="6" ht="15.75" customHeight="1">
      <c r="A6" s="7" t="s">
        <v>76</v>
      </c>
      <c r="B6" s="16">
        <f>Assumptions!B4*(1+Assumptions!B17)</f>
        <v>11960</v>
      </c>
      <c r="C6" s="16">
        <f>B6*(1+Assumptions!B18)</f>
        <v>12558</v>
      </c>
      <c r="D6" s="16">
        <f>C6*(1+Assumptions!B19)</f>
        <v>13185.9</v>
      </c>
      <c r="E6" s="16">
        <f>D6*(1+Assumptions!B20)</f>
        <v>13713.336</v>
      </c>
      <c r="F6" s="16">
        <f>E6*(1+Assumptions!B21)</f>
        <v>14193.30276</v>
      </c>
      <c r="H6" s="17" t="s">
        <v>77</v>
      </c>
    </row>
    <row r="7" ht="15.75" customHeight="1">
      <c r="A7" s="18" t="s">
        <v>78</v>
      </c>
      <c r="B7" s="19">
        <f>B6/Assumptions!B4-1</f>
        <v>0.04</v>
      </c>
      <c r="C7" s="19">
        <f t="shared" ref="C7:F7" si="1">C6/B6-1</f>
        <v>0.05</v>
      </c>
      <c r="D7" s="19">
        <f t="shared" si="1"/>
        <v>0.05</v>
      </c>
      <c r="E7" s="19">
        <f t="shared" si="1"/>
        <v>0.04</v>
      </c>
      <c r="F7" s="19">
        <f t="shared" si="1"/>
        <v>0.035</v>
      </c>
    </row>
    <row r="8" ht="15.75" customHeight="1">
      <c r="A8" s="20" t="s">
        <v>79</v>
      </c>
      <c r="B8" s="21">
        <f>B6*Assumptions!B22</f>
        <v>3946.8</v>
      </c>
      <c r="C8" s="21">
        <f>C6*Assumptions!B23</f>
        <v>4269.72</v>
      </c>
      <c r="D8" s="21">
        <f>D6*Assumptions!B24</f>
        <v>4615.065</v>
      </c>
      <c r="E8" s="21">
        <f>E6*Assumptions!B25</f>
        <v>4868.23428</v>
      </c>
      <c r="F8" s="21">
        <f>F6*Assumptions!B26</f>
        <v>5109.588994</v>
      </c>
      <c r="G8" s="22"/>
      <c r="H8" s="23" t="s">
        <v>80</v>
      </c>
    </row>
    <row r="9" ht="15.75" customHeight="1">
      <c r="A9" s="18" t="s">
        <v>81</v>
      </c>
      <c r="B9" s="19">
        <f>Assumptions!B22</f>
        <v>0.33</v>
      </c>
      <c r="C9" s="19">
        <f>Assumptions!B23</f>
        <v>0.34</v>
      </c>
      <c r="D9" s="19">
        <f>Assumptions!B24</f>
        <v>0.35</v>
      </c>
      <c r="E9" s="19">
        <f>Assumptions!B25</f>
        <v>0.355</v>
      </c>
      <c r="F9" s="19">
        <f>Assumptions!B26</f>
        <v>0.36</v>
      </c>
    </row>
    <row r="10" ht="15.75" customHeight="1">
      <c r="A10" s="5" t="s">
        <v>82</v>
      </c>
      <c r="B10" s="6"/>
      <c r="C10" s="6"/>
      <c r="D10" s="6"/>
      <c r="E10" s="6"/>
      <c r="F10" s="6"/>
      <c r="G10" s="6"/>
      <c r="H10" s="6"/>
    </row>
    <row r="11" ht="15.75" customHeight="1">
      <c r="A11" s="7" t="s">
        <v>83</v>
      </c>
      <c r="B11" s="24">
        <f t="shared" ref="B11:F11" si="2">B8</f>
        <v>3946.8</v>
      </c>
      <c r="C11" s="24">
        <f t="shared" si="2"/>
        <v>4269.72</v>
      </c>
      <c r="D11" s="24">
        <f t="shared" si="2"/>
        <v>4615.065</v>
      </c>
      <c r="E11" s="24">
        <f t="shared" si="2"/>
        <v>4868.23428</v>
      </c>
      <c r="F11" s="24">
        <f t="shared" si="2"/>
        <v>5109.588994</v>
      </c>
    </row>
    <row r="12" ht="15.75" customHeight="1">
      <c r="A12" s="7" t="s">
        <v>84</v>
      </c>
      <c r="B12" s="16">
        <f>-Assumptions!B7</f>
        <v>-1200</v>
      </c>
      <c r="C12" s="16">
        <f>-Assumptions!B7</f>
        <v>-1200</v>
      </c>
      <c r="D12" s="16">
        <f>-Assumptions!B7</f>
        <v>-1200</v>
      </c>
      <c r="E12" s="16">
        <f>-Assumptions!B7</f>
        <v>-1200</v>
      </c>
      <c r="F12" s="16">
        <f>-Assumptions!B7</f>
        <v>-1200</v>
      </c>
    </row>
    <row r="13" ht="15.75" customHeight="1">
      <c r="A13" s="7" t="s">
        <v>85</v>
      </c>
      <c r="B13" s="16">
        <f t="shared" ref="B13:F13" si="3">B11+B12</f>
        <v>2746.8</v>
      </c>
      <c r="C13" s="16">
        <f t="shared" si="3"/>
        <v>3069.72</v>
      </c>
      <c r="D13" s="16">
        <f t="shared" si="3"/>
        <v>3415.065</v>
      </c>
      <c r="E13" s="16">
        <f t="shared" si="3"/>
        <v>3668.23428</v>
      </c>
      <c r="F13" s="16">
        <f t="shared" si="3"/>
        <v>3909.588994</v>
      </c>
    </row>
    <row r="14" ht="15.75" customHeight="1">
      <c r="A14" s="7" t="s">
        <v>86</v>
      </c>
      <c r="B14" s="16">
        <f>IF(B13&gt;0,B13*(-Assumptions!B10),0)</f>
        <v>-604.296</v>
      </c>
      <c r="C14" s="16">
        <f>IF(C13&gt;0,C13*(-Assumptions!B10),0)</f>
        <v>-675.3384</v>
      </c>
      <c r="D14" s="16">
        <f>IF(D13&gt;0,D13*(-Assumptions!B10),0)</f>
        <v>-751.3143</v>
      </c>
      <c r="E14" s="16">
        <f>IF(E13&gt;0,E13*(-Assumptions!B10),0)</f>
        <v>-807.0115416</v>
      </c>
      <c r="F14" s="16">
        <f>IF(F13&gt;0,F13*(-Assumptions!B10),0)</f>
        <v>-860.1095786</v>
      </c>
    </row>
    <row r="15" ht="15.75" customHeight="1">
      <c r="A15" s="25" t="s">
        <v>87</v>
      </c>
      <c r="B15" s="26">
        <f t="shared" ref="B15:F15" si="4">B13+B14</f>
        <v>2142.504</v>
      </c>
      <c r="C15" s="26">
        <f t="shared" si="4"/>
        <v>2394.3816</v>
      </c>
      <c r="D15" s="26">
        <f t="shared" si="4"/>
        <v>2663.7507</v>
      </c>
      <c r="E15" s="26">
        <f t="shared" si="4"/>
        <v>2861.222738</v>
      </c>
      <c r="F15" s="26">
        <f t="shared" si="4"/>
        <v>3049.479415</v>
      </c>
    </row>
    <row r="16" ht="15.75" customHeight="1">
      <c r="A16" s="7" t="s">
        <v>88</v>
      </c>
      <c r="B16" s="16">
        <f t="shared" ref="B16:F16" si="5">-B12</f>
        <v>1200</v>
      </c>
      <c r="C16" s="16">
        <f t="shared" si="5"/>
        <v>1200</v>
      </c>
      <c r="D16" s="16">
        <f t="shared" si="5"/>
        <v>1200</v>
      </c>
      <c r="E16" s="16">
        <f t="shared" si="5"/>
        <v>1200</v>
      </c>
      <c r="F16" s="16">
        <f t="shared" si="5"/>
        <v>1200</v>
      </c>
    </row>
    <row r="17" ht="15.75" customHeight="1">
      <c r="A17" s="7" t="s">
        <v>89</v>
      </c>
      <c r="B17" s="16">
        <f>-Assumptions!B8</f>
        <v>-800</v>
      </c>
      <c r="C17" s="16">
        <f>-Assumptions!B8</f>
        <v>-800</v>
      </c>
      <c r="D17" s="16">
        <f>-Assumptions!B8</f>
        <v>-800</v>
      </c>
      <c r="E17" s="16">
        <f>-Assumptions!B8</f>
        <v>-800</v>
      </c>
      <c r="F17" s="16">
        <f>-Assumptions!B8</f>
        <v>-800</v>
      </c>
    </row>
    <row r="18" ht="15.75" customHeight="1">
      <c r="A18" s="7" t="s">
        <v>90</v>
      </c>
      <c r="B18" s="16">
        <f>-(B6-Assumptions!B4)*Assumptions!B9</f>
        <v>-9.2</v>
      </c>
      <c r="C18" s="16">
        <f>-(C6-B6)*Assumptions!B9</f>
        <v>-11.96</v>
      </c>
      <c r="D18" s="16">
        <f>-(D6-C6)*Assumptions!B9</f>
        <v>-12.558</v>
      </c>
      <c r="E18" s="16">
        <f>-(E6-D6)*Assumptions!B9</f>
        <v>-10.54872</v>
      </c>
      <c r="F18" s="16">
        <f>-(F6-E6)*Assumptions!B9</f>
        <v>-9.5993352</v>
      </c>
    </row>
    <row r="19" ht="15.75" customHeight="1">
      <c r="A19" s="20" t="s">
        <v>91</v>
      </c>
      <c r="B19" s="21">
        <f t="shared" ref="B19:F19" si="6">B15+B16+B17+B18</f>
        <v>2533.304</v>
      </c>
      <c r="C19" s="21">
        <f t="shared" si="6"/>
        <v>2782.4216</v>
      </c>
      <c r="D19" s="21">
        <f t="shared" si="6"/>
        <v>3051.1927</v>
      </c>
      <c r="E19" s="21">
        <f t="shared" si="6"/>
        <v>3250.674018</v>
      </c>
      <c r="F19" s="21">
        <f t="shared" si="6"/>
        <v>3439.88008</v>
      </c>
      <c r="G19" s="22"/>
    </row>
    <row r="20" ht="15.75" customHeight="1">
      <c r="A20" s="7" t="s">
        <v>92</v>
      </c>
      <c r="B20" s="27">
        <f>1/(1+Assumptions!B15)^(1-0.5)</f>
        <v>0.9600307215</v>
      </c>
      <c r="C20" s="27">
        <f>1/(1+Assumptions!B15)^(2-0.5)</f>
        <v>0.8848209415</v>
      </c>
      <c r="D20" s="27">
        <f>1/(1+Assumptions!B15)^(3-0.5)</f>
        <v>0.8155031718</v>
      </c>
      <c r="E20" s="27">
        <f>1/(1+Assumptions!B15)^(4-0.5)</f>
        <v>0.7516158266</v>
      </c>
      <c r="F20" s="27">
        <f>1/(1+Assumptions!B15)^(5-0.5)</f>
        <v>0.6927334807</v>
      </c>
    </row>
    <row r="21" ht="15.75" customHeight="1">
      <c r="A21" s="20" t="s">
        <v>93</v>
      </c>
      <c r="B21" s="21">
        <f t="shared" ref="B21:F21" si="7">B19*B20</f>
        <v>2432.049667</v>
      </c>
      <c r="C21" s="21">
        <f t="shared" si="7"/>
        <v>2461.9449</v>
      </c>
      <c r="D21" s="21">
        <f t="shared" si="7"/>
        <v>2488.257325</v>
      </c>
      <c r="E21" s="21">
        <f t="shared" si="7"/>
        <v>2443.258039</v>
      </c>
      <c r="F21" s="21">
        <f t="shared" si="7"/>
        <v>2382.920101</v>
      </c>
      <c r="G21" s="22"/>
    </row>
    <row r="22" ht="15.75" customHeight="1"/>
    <row r="23" ht="15.75" customHeight="1">
      <c r="A23" s="5" t="s">
        <v>94</v>
      </c>
      <c r="B23" s="6"/>
      <c r="C23" s="6"/>
      <c r="D23" s="6"/>
      <c r="E23" s="6"/>
      <c r="F23" s="6"/>
      <c r="G23" s="6"/>
      <c r="H23" s="6"/>
    </row>
    <row r="24" ht="15.75" customHeight="1">
      <c r="A24" s="7" t="s">
        <v>95</v>
      </c>
      <c r="G24" s="24">
        <f>F19</f>
        <v>3439.88008</v>
      </c>
    </row>
    <row r="25" ht="15.75" customHeight="1">
      <c r="A25" s="7" t="s">
        <v>24</v>
      </c>
      <c r="G25" s="28">
        <f>Assumptions!B16</f>
        <v>0.025</v>
      </c>
    </row>
    <row r="26" ht="15.75" customHeight="1">
      <c r="A26" s="7" t="s">
        <v>22</v>
      </c>
      <c r="G26" s="28">
        <f>Assumptions!B15</f>
        <v>0.085</v>
      </c>
    </row>
    <row r="27" ht="15.75" customHeight="1">
      <c r="A27" s="25" t="s">
        <v>96</v>
      </c>
      <c r="G27" s="26">
        <f>G24/(G26-G25)</f>
        <v>57331.33466</v>
      </c>
    </row>
    <row r="28" ht="15.75" customHeight="1">
      <c r="A28" s="20" t="s">
        <v>97</v>
      </c>
      <c r="B28" s="22"/>
      <c r="C28" s="22"/>
      <c r="D28" s="22"/>
      <c r="E28" s="22"/>
      <c r="F28" s="22"/>
      <c r="G28" s="21">
        <f>G27/(1+Assumptions!B15)^5</f>
        <v>38127.94173</v>
      </c>
      <c r="H28" s="22"/>
    </row>
    <row r="29" ht="15.75" customHeight="1"/>
    <row r="30" ht="15.75" customHeight="1">
      <c r="A30" s="5" t="s">
        <v>98</v>
      </c>
      <c r="B30" s="6"/>
      <c r="C30" s="6"/>
      <c r="D30" s="6"/>
      <c r="E30" s="6"/>
      <c r="F30" s="6"/>
      <c r="G30" s="6"/>
      <c r="H30" s="6"/>
    </row>
    <row r="31" ht="15.75" customHeight="1">
      <c r="A31" s="7" t="s">
        <v>99</v>
      </c>
      <c r="B31" s="24">
        <f>SUM(B21:F21)</f>
        <v>12208.43003</v>
      </c>
    </row>
    <row r="32" ht="15.75" customHeight="1">
      <c r="A32" s="7" t="s">
        <v>97</v>
      </c>
      <c r="B32" s="24">
        <f>G28</f>
        <v>38127.94173</v>
      </c>
    </row>
    <row r="33" ht="15.75" customHeight="1">
      <c r="A33" s="20" t="s">
        <v>100</v>
      </c>
      <c r="B33" s="21">
        <f>B31+B32</f>
        <v>50336.37176</v>
      </c>
      <c r="C33" s="22"/>
      <c r="D33" s="22"/>
      <c r="E33" s="22"/>
      <c r="F33" s="22"/>
      <c r="G33" s="22"/>
    </row>
    <row r="34" ht="15.75" customHeight="1">
      <c r="A34" s="7" t="s">
        <v>101</v>
      </c>
      <c r="B34" s="24">
        <f>-Assumptions!B11</f>
        <v>-11013</v>
      </c>
    </row>
    <row r="35" ht="15.75" customHeight="1">
      <c r="A35" s="25" t="s">
        <v>102</v>
      </c>
      <c r="B35" s="26">
        <f>B33+B34</f>
        <v>39323.37176</v>
      </c>
    </row>
    <row r="36" ht="15.75" customHeight="1">
      <c r="A36" s="7" t="s">
        <v>103</v>
      </c>
      <c r="B36" s="24">
        <f>Assumptions!B12</f>
        <v>185</v>
      </c>
    </row>
    <row r="37" ht="15.75" customHeight="1">
      <c r="A37" s="20" t="s">
        <v>104</v>
      </c>
      <c r="B37" s="29">
        <f>B35/B36</f>
        <v>212.5587663</v>
      </c>
      <c r="C37" s="22"/>
      <c r="D37" s="22"/>
      <c r="E37" s="22"/>
      <c r="F37" s="22"/>
      <c r="G37" s="22"/>
      <c r="H37" s="17" t="s">
        <v>105</v>
      </c>
    </row>
    <row r="38" ht="15.75" customHeight="1">
      <c r="A38" s="18" t="s">
        <v>106</v>
      </c>
      <c r="B38" s="19">
        <f>B32/B33</f>
        <v>0.757463051</v>
      </c>
    </row>
    <row r="39" ht="15.75" customHeight="1">
      <c r="A39" s="18" t="s">
        <v>107</v>
      </c>
      <c r="B39" s="30">
        <f>B33/Assumptions!B5</f>
        <v>13.88972731</v>
      </c>
    </row>
    <row r="40" ht="15.75" customHeight="1"/>
    <row r="41" ht="15.75" customHeight="1">
      <c r="A41" s="5" t="s">
        <v>108</v>
      </c>
      <c r="B41" s="6"/>
      <c r="C41" s="6"/>
      <c r="D41" s="6"/>
      <c r="E41" s="6"/>
      <c r="F41" s="6"/>
      <c r="G41" s="6"/>
      <c r="H41" s="6"/>
    </row>
    <row r="42" ht="15.75" customHeight="1">
      <c r="A42" s="31" t="s">
        <v>109</v>
      </c>
      <c r="B42" s="32">
        <v>0.075</v>
      </c>
      <c r="C42" s="32">
        <v>0.08</v>
      </c>
      <c r="D42" s="32">
        <v>0.085</v>
      </c>
      <c r="E42" s="32">
        <v>0.09</v>
      </c>
      <c r="F42" s="32">
        <v>0.095</v>
      </c>
    </row>
    <row r="43" ht="15.75" customHeight="1">
      <c r="A43" s="33">
        <v>0.015</v>
      </c>
      <c r="B43" s="34">
        <f>(B19/(1+0.075)^(1-0.5)+C19/(1+0.075)^(2-0.5)+D19/(1+0.075)^(3-0.5)+E19/(1+0.075)^(4-0.5)+F19/(1+0.075)^(5-0.5)+F19/(0.075-0.015)/(1+0.075)^5-Assumptions!B11)/Assumptions!B12</f>
        <v>223.8698318</v>
      </c>
      <c r="C43" s="34">
        <f>(B19/(1+0.08)^(1-0.5)+C19/(1+0.08)^(2-0.5)+D19/(1+0.08)^(3-0.5)+E19/(1+0.08)^(4-0.5)+F19/(1+0.08)^(5-0.5)+F19/(0.08-0.015)/(1+0.08)^5-Assumptions!B11)/Assumptions!B12</f>
        <v>201.9147995</v>
      </c>
      <c r="D43" s="34">
        <f>(B19/(1+0.085)^(1-0.5)+C19/(1+0.085)^(2-0.5)+D19/(1+0.085)^(3-0.5)+E19/(1+0.085)^(4-0.5)+F19/(1+0.085)^(5-0.5)+F19/(0.085-0.015)/(1+0.085)^5-Assumptions!B11)/Assumptions!B12</f>
        <v>183.1163402</v>
      </c>
      <c r="E43" s="34">
        <f>(B19/(1+0.09)^(1-0.5)+C19/(1+0.09)^(2-0.5)+D19/(1+0.09)^(3-0.5)+E19/(1+0.09)^(4-0.5)+F19/(1+0.09)^(5-0.5)+F19/(0.09-0.015)/(1+0.09)^5-Assumptions!B11)/Assumptions!B12</f>
        <v>166.8423648</v>
      </c>
      <c r="F43" s="34">
        <f>(B19/(1+0.095)^(1-0.5)+C19/(1+0.095)^(2-0.5)+D19/(1+0.095)^(3-0.5)+E19/(1+0.095)^(4-0.5)+F19/(1+0.095)^(5-0.5)+F19/(0.095-0.015)/(1+0.095)^5-Assumptions!B11)/Assumptions!B12</f>
        <v>152.6188375</v>
      </c>
    </row>
    <row r="44" ht="15.75" customHeight="1">
      <c r="A44" s="33">
        <v>0.02</v>
      </c>
      <c r="B44" s="34">
        <f>(B19/(1+0.075)^(1-0.5)+C19/(1+0.075)^(2-0.5)+D19/(1+0.075)^(3-0.5)+E19/(1+0.075)^(4-0.5)+F19/(1+0.075)^(5-0.5)+F19/(0.075-0.02)/(1+0.075)^5-Assumptions!B11)/Assumptions!B12</f>
        <v>243.4937316</v>
      </c>
      <c r="C44" s="34">
        <f>(B19/(1+0.08)^(1-0.5)+C19/(1+0.08)^(2-0.5)+D19/(1+0.08)^(3-0.5)+E19/(1+0.08)^(4-0.5)+F19/(1+0.08)^(5-0.5)+F19/(0.08-0.02)/(1+0.08)^5-Assumptions!B11)/Assumptions!B12</f>
        <v>218.138809</v>
      </c>
      <c r="D44" s="34">
        <f>(B19/(1+0.085)^(1-0.5)+C19/(1+0.085)^(2-0.5)+D19/(1+0.085)^(3-0.5)+E19/(1+0.085)^(4-0.5)+F19/(1+0.085)^(5-0.5)+F19/(0.085-0.02)/(1+0.085)^5-Assumptions!B11)/Assumptions!B12</f>
        <v>196.7051522</v>
      </c>
      <c r="E44" s="34">
        <f>(B19/(1+0.09)^(1-0.5)+C19/(1+0.09)^(2-0.5)+D19/(1+0.09)^(3-0.5)+E19/(1+0.09)^(4-0.5)+F19/(1+0.09)^(5-0.5)+F19/(0.09-0.02)/(1+0.09)^5-Assumptions!B11)/Assumptions!B12</f>
        <v>178.351688</v>
      </c>
      <c r="F44" s="34">
        <f>(B19/(1+0.095)^(1-0.5)+C19/(1+0.095)^(2-0.5)+D19/(1+0.095)^(3-0.5)+E19/(1+0.095)^(4-0.5)+F19/(1+0.095)^(5-0.5)+F19/(0.095-0.02)/(1+0.095)^5-Assumptions!B11)/Assumptions!B12</f>
        <v>162.4616618</v>
      </c>
    </row>
    <row r="45" ht="15.75" customHeight="1">
      <c r="A45" s="33">
        <v>0.025</v>
      </c>
      <c r="B45" s="34">
        <f>(B19/(1+0.075)^(1-0.5)+C19/(1+0.075)^(2-0.5)+D19/(1+0.075)^(3-0.5)+E19/(1+0.075)^(4-0.5)+F19/(1+0.075)^(5-0.5)+F19/(0.075-0.025)/(1+0.075)^5-Assumptions!B11)/Assumptions!B12</f>
        <v>267.0424113</v>
      </c>
      <c r="C45" s="34">
        <f>(B19/(1+0.08)^(1-0.5)+C19/(1+0.08)^(2-0.5)+D19/(1+0.08)^(3-0.5)+E19/(1+0.08)^(4-0.5)+F19/(1+0.08)^(5-0.5)+F19/(0.08-0.025)/(1+0.08)^5-Assumptions!B11)/Assumptions!B12</f>
        <v>237.3126385</v>
      </c>
      <c r="D45" s="35">
        <f>(B19/(1+0.085)^(1-0.5)+C19/(1+0.085)^(2-0.5)+D19/(1+0.085)^(3-0.5)+E19/(1+0.085)^(4-0.5)+F19/(1+0.085)^(5-0.5)+F19/(0.085-0.025)/(1+0.085)^5-Assumptions!B11)/Assumptions!B12</f>
        <v>212.5587663</v>
      </c>
      <c r="E45" s="34">
        <f>(B19/(1+0.09)^(1-0.5)+C19/(1+0.09)^(2-0.5)+D19/(1+0.09)^(3-0.5)+E19/(1+0.09)^(4-0.5)+F19/(1+0.09)^(5-0.5)+F19/(0.09-0.025)/(1+0.09)^5-Assumptions!B11)/Assumptions!B12</f>
        <v>191.6316763</v>
      </c>
      <c r="F45" s="34">
        <f>(B19/(1+0.095)^(1-0.5)+C19/(1+0.095)^(2-0.5)+D19/(1+0.095)^(3-0.5)+E19/(1+0.095)^(4-0.5)+F19/(1+0.095)^(5-0.5)+F19/(0.095-0.025)/(1+0.095)^5-Assumptions!B11)/Assumptions!B12</f>
        <v>173.7106038</v>
      </c>
    </row>
    <row r="46" ht="15.75" customHeight="1">
      <c r="A46" s="33">
        <v>0.03</v>
      </c>
      <c r="B46" s="34">
        <f>(B19/(1+0.075)^(1-0.5)+C19/(1+0.075)^(2-0.5)+D19/(1+0.075)^(3-0.5)+E19/(1+0.075)^(4-0.5)+F19/(1+0.075)^(5-0.5)+F19/(0.075-0.03)/(1+0.075)^5-Assumptions!B11)/Assumptions!B12</f>
        <v>295.824131</v>
      </c>
      <c r="C46" s="34">
        <f>(B19/(1+0.08)^(1-0.5)+C19/(1+0.08)^(2-0.5)+D19/(1+0.08)^(3-0.5)+E19/(1+0.08)^(4-0.5)+F19/(1+0.08)^(5-0.5)+F19/(0.08-0.03)/(1+0.08)^5-Assumptions!B11)/Assumptions!B12</f>
        <v>260.3212339</v>
      </c>
      <c r="D46" s="34">
        <f>(B19/(1+0.085)^(1-0.5)+C19/(1+0.085)^(2-0.5)+D19/(1+0.085)^(3-0.5)+E19/(1+0.085)^(4-0.5)+F19/(1+0.085)^(5-0.5)+F19/(0.085-0.03)/(1+0.085)^5-Assumptions!B11)/Assumptions!B12</f>
        <v>231.2948556</v>
      </c>
      <c r="E46" s="34">
        <f>(B19/(1+0.09)^(1-0.5)+C19/(1+0.09)^(2-0.5)+D19/(1+0.09)^(3-0.5)+E19/(1+0.09)^(4-0.5)+F19/(1+0.09)^(5-0.5)+F19/(0.09-0.03)/(1+0.09)^5-Assumptions!B11)/Assumptions!B12</f>
        <v>207.124996</v>
      </c>
      <c r="F46" s="34">
        <f>(B19/(1+0.095)^(1-0.5)+C19/(1+0.095)^(2-0.5)+D19/(1+0.095)^(3-0.5)+E19/(1+0.095)^(4-0.5)+F19/(1+0.095)^(5-0.5)+F19/(0.095-0.03)/(1+0.095)^5-Assumptions!B11)/Assumptions!B12</f>
        <v>186.6901523</v>
      </c>
    </row>
    <row r="47" ht="15.75" customHeight="1">
      <c r="A47" s="33">
        <v>0.035</v>
      </c>
      <c r="B47" s="34">
        <f>(B19/(1+0.075)^(1-0.5)+C19/(1+0.075)^(2-0.5)+D19/(1+0.075)^(3-0.5)+E19/(1+0.075)^(4-0.5)+F19/(1+0.075)^(5-0.5)+F19/(0.075-0.035)/(1+0.075)^5-Assumptions!B11)/Assumptions!B12</f>
        <v>331.8012806</v>
      </c>
      <c r="C47" s="34">
        <f>(B19/(1+0.08)^(1-0.5)+C19/(1+0.08)^(2-0.5)+D19/(1+0.08)^(3-0.5)+E19/(1+0.08)^(4-0.5)+F19/(1+0.08)^(5-0.5)+F19/(0.08-0.035)/(1+0.08)^5-Assumptions!B11)/Assumptions!B12</f>
        <v>288.4428505</v>
      </c>
      <c r="D47" s="34">
        <f>(B19/(1+0.085)^(1-0.5)+C19/(1+0.085)^(2-0.5)+D19/(1+0.085)^(3-0.5)+E19/(1+0.085)^(4-0.5)+F19/(1+0.085)^(5-0.5)+F19/(0.085-0.035)/(1+0.085)^5-Assumptions!B11)/Assumptions!B12</f>
        <v>253.7781627</v>
      </c>
      <c r="E47" s="34">
        <f>(B19/(1+0.09)^(1-0.5)+C19/(1+0.09)^(2-0.5)+D19/(1+0.09)^(3-0.5)+E19/(1+0.09)^(4-0.5)+F19/(1+0.09)^(5-0.5)+F19/(0.09-0.035)/(1+0.09)^5-Assumptions!B11)/Assumptions!B12</f>
        <v>225.4352829</v>
      </c>
      <c r="F47" s="34">
        <f>(B19/(1+0.095)^(1-0.5)+C19/(1+0.095)^(2-0.5)+D19/(1+0.095)^(3-0.5)+E19/(1+0.095)^(4-0.5)+F19/(1+0.095)^(5-0.5)+F19/(0.095-0.035)/(1+0.095)^5-Assumptions!B11)/Assumptions!B12</f>
        <v>201.8329589</v>
      </c>
    </row>
    <row r="48" ht="15.75" customHeight="1"/>
    <row r="49" ht="15.75" customHeight="1">
      <c r="A49" s="17" t="s">
        <v>110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B43:F47">
    <cfRule type="colorScale" priority="1">
      <colorScale>
        <cfvo type="formula" val="15"/>
        <cfvo type="formula" val="31"/>
        <cfvo type="formula" val="55"/>
        <color rgb="FFC00000"/>
        <color rgb="FFFFFFFF"/>
        <color rgb="FF375623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/>
  </sheetViews>
  <sheetFormatPr customHeight="1" defaultColWidth="14.43" defaultRowHeight="15.0"/>
  <cols>
    <col customWidth="1" min="1" max="1" width="27.29"/>
    <col customWidth="1" min="2" max="2" width="8.0"/>
    <col customWidth="1" min="3" max="4" width="13.0"/>
    <col customWidth="1" min="5" max="11" width="12.0"/>
    <col customWidth="1" min="12" max="12" width="53.86"/>
    <col customWidth="1" min="13" max="26" width="8.71"/>
  </cols>
  <sheetData>
    <row r="1" ht="21.75" customHeight="1">
      <c r="A1" s="1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</row>
    <row r="2" ht="13.5" customHeight="1">
      <c r="A2" s="4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4" ht="15.75" customHeight="1">
      <c r="A4" s="15" t="s">
        <v>113</v>
      </c>
      <c r="B4" s="15" t="s">
        <v>114</v>
      </c>
      <c r="C4" s="13" t="s">
        <v>76</v>
      </c>
      <c r="D4" s="13" t="s">
        <v>115</v>
      </c>
      <c r="E4" s="13" t="s">
        <v>116</v>
      </c>
      <c r="F4" s="13" t="s">
        <v>117</v>
      </c>
      <c r="G4" s="13" t="s">
        <v>118</v>
      </c>
      <c r="H4" s="13" t="s">
        <v>119</v>
      </c>
      <c r="I4" s="13" t="s">
        <v>120</v>
      </c>
      <c r="J4" s="13" t="s">
        <v>121</v>
      </c>
      <c r="K4" s="13" t="s">
        <v>116</v>
      </c>
      <c r="L4" s="13" t="s">
        <v>122</v>
      </c>
    </row>
    <row r="5" ht="15.75" customHeight="1">
      <c r="A5" s="7" t="s">
        <v>123</v>
      </c>
      <c r="B5" s="18" t="s">
        <v>124</v>
      </c>
      <c r="C5" s="38">
        <v>17500.0</v>
      </c>
      <c r="D5" s="38">
        <v>2400.0</v>
      </c>
      <c r="E5" s="10">
        <v>0.137</v>
      </c>
      <c r="F5" s="38">
        <v>7800.0</v>
      </c>
      <c r="G5" s="38">
        <v>9500.0</v>
      </c>
      <c r="H5" s="38">
        <v>17300.0</v>
      </c>
      <c r="I5" s="39">
        <f t="shared" ref="I5:I8" si="1">H5/D5</f>
        <v>7.208333333</v>
      </c>
      <c r="J5" s="10">
        <v>0.017</v>
      </c>
      <c r="K5" s="10">
        <v>0.01</v>
      </c>
      <c r="L5" s="40" t="s">
        <v>125</v>
      </c>
    </row>
    <row r="6" ht="15.75" customHeight="1">
      <c r="A6" s="7" t="s">
        <v>126</v>
      </c>
      <c r="B6" s="18" t="s">
        <v>127</v>
      </c>
      <c r="C6" s="38">
        <v>7140.0</v>
      </c>
      <c r="D6" s="38">
        <v>2100.0</v>
      </c>
      <c r="E6" s="10">
        <v>0.294</v>
      </c>
      <c r="F6" s="38">
        <v>4500.0</v>
      </c>
      <c r="G6" s="38">
        <v>10800.0</v>
      </c>
      <c r="H6" s="38">
        <v>15300.0</v>
      </c>
      <c r="I6" s="39">
        <f t="shared" si="1"/>
        <v>7.285714286</v>
      </c>
      <c r="J6" s="10">
        <v>0.001</v>
      </c>
      <c r="K6" s="10">
        <v>-0.08</v>
      </c>
      <c r="L6" s="40" t="s">
        <v>128</v>
      </c>
    </row>
    <row r="7" ht="15.75" customHeight="1">
      <c r="A7" s="7" t="s">
        <v>129</v>
      </c>
      <c r="B7" s="18" t="s">
        <v>130</v>
      </c>
      <c r="C7" s="38">
        <v>4090.0</v>
      </c>
      <c r="D7" s="38">
        <v>1350.0</v>
      </c>
      <c r="E7" s="10">
        <v>0.33</v>
      </c>
      <c r="F7" s="38">
        <v>1800.0</v>
      </c>
      <c r="G7" s="38">
        <v>6540.0</v>
      </c>
      <c r="H7" s="38">
        <v>8340.0</v>
      </c>
      <c r="I7" s="39">
        <f t="shared" si="1"/>
        <v>6.177777778</v>
      </c>
      <c r="J7" s="10">
        <v>0.051</v>
      </c>
      <c r="K7" s="10">
        <v>0.05</v>
      </c>
      <c r="L7" s="40" t="s">
        <v>131</v>
      </c>
    </row>
    <row r="8" ht="15.75" customHeight="1">
      <c r="A8" s="7" t="s">
        <v>132</v>
      </c>
      <c r="B8" s="18" t="s">
        <v>133</v>
      </c>
      <c r="C8" s="38">
        <v>6960.0</v>
      </c>
      <c r="D8" s="38">
        <v>830.0</v>
      </c>
      <c r="E8" s="10">
        <v>0.119</v>
      </c>
      <c r="F8" s="38">
        <v>2200.0</v>
      </c>
      <c r="G8" s="38">
        <v>3800.0</v>
      </c>
      <c r="H8" s="38">
        <v>6000.0</v>
      </c>
      <c r="I8" s="39">
        <f t="shared" si="1"/>
        <v>7.228915663</v>
      </c>
      <c r="J8" s="10">
        <v>0.058</v>
      </c>
      <c r="K8" s="10">
        <v>0.235</v>
      </c>
      <c r="L8" s="40" t="s">
        <v>134</v>
      </c>
    </row>
    <row r="9" ht="15.75" customHeight="1">
      <c r="A9" s="41" t="s">
        <v>135</v>
      </c>
      <c r="C9" s="42">
        <f t="shared" ref="C9:E9" si="2">MEDIAN(C5:C8)</f>
        <v>7050</v>
      </c>
      <c r="D9" s="42">
        <f t="shared" si="2"/>
        <v>1725</v>
      </c>
      <c r="E9" s="43">
        <f t="shared" si="2"/>
        <v>0.2155</v>
      </c>
      <c r="I9" s="44">
        <f t="shared" ref="I9:J9" si="3">MEDIAN(I5:I8)</f>
        <v>7.218624498</v>
      </c>
      <c r="J9" s="43">
        <f t="shared" si="3"/>
        <v>0.034</v>
      </c>
    </row>
    <row r="10" ht="15.75" customHeight="1">
      <c r="A10" s="41" t="s">
        <v>136</v>
      </c>
      <c r="C10" s="42">
        <f t="shared" ref="C10:E10" si="4">AVERAGE(C5:C8)</f>
        <v>8922.5</v>
      </c>
      <c r="D10" s="42">
        <f t="shared" si="4"/>
        <v>1670</v>
      </c>
      <c r="E10" s="43">
        <f t="shared" si="4"/>
        <v>0.22</v>
      </c>
      <c r="I10" s="44">
        <f t="shared" ref="I10:J10" si="5">AVERAGE(I5:I8)</f>
        <v>6.975185265</v>
      </c>
      <c r="J10" s="43">
        <f t="shared" si="5"/>
        <v>0.03175</v>
      </c>
    </row>
    <row r="12" ht="18.0" customHeight="1">
      <c r="A12" s="45" t="s">
        <v>137</v>
      </c>
      <c r="B12" s="46" t="s">
        <v>138</v>
      </c>
      <c r="C12" s="47">
        <v>11500.0</v>
      </c>
      <c r="D12" s="47">
        <v>3624.0</v>
      </c>
      <c r="E12" s="48">
        <f>D12/C12</f>
        <v>0.3151304348</v>
      </c>
      <c r="F12" s="47">
        <v>11013.0</v>
      </c>
      <c r="G12" s="47">
        <v>5735.0</v>
      </c>
      <c r="H12" s="47">
        <v>16748.0</v>
      </c>
      <c r="I12" s="49">
        <f>H12/D12</f>
        <v>4.621412804</v>
      </c>
      <c r="J12" s="50">
        <v>0.027</v>
      </c>
      <c r="K12" s="48">
        <f>D12/Assumptions!B5-1</f>
        <v>0</v>
      </c>
      <c r="L12" s="51" t="s">
        <v>139</v>
      </c>
    </row>
    <row r="15" ht="15.75" customHeight="1">
      <c r="A15" s="5" t="s">
        <v>140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ht="15.75" customHeight="1">
      <c r="A16" s="31" t="s">
        <v>141</v>
      </c>
      <c r="C16" s="13" t="s">
        <v>135</v>
      </c>
      <c r="D16" s="13" t="s">
        <v>136</v>
      </c>
      <c r="E16" s="13" t="s">
        <v>142</v>
      </c>
      <c r="F16" s="13" t="s">
        <v>143</v>
      </c>
      <c r="G16" s="13" t="s">
        <v>144</v>
      </c>
    </row>
    <row r="17" ht="15.75" customHeight="1">
      <c r="A17" s="7" t="s">
        <v>145</v>
      </c>
      <c r="C17" s="39">
        <f>I9</f>
        <v>7.218624498</v>
      </c>
      <c r="D17" s="39">
        <f>I10</f>
        <v>6.975185265</v>
      </c>
      <c r="E17" s="39">
        <f>I7</f>
        <v>6.177777778</v>
      </c>
      <c r="F17" s="39">
        <f>I6</f>
        <v>7.285714286</v>
      </c>
      <c r="G17" s="39">
        <f>H12/D12</f>
        <v>4.621412804</v>
      </c>
    </row>
    <row r="18" ht="15.75" customHeight="1">
      <c r="A18" s="7" t="s">
        <v>146</v>
      </c>
      <c r="C18" s="52">
        <f>D12*C17</f>
        <v>26160.29518</v>
      </c>
      <c r="D18" s="52">
        <f>D12*D17</f>
        <v>25278.0714</v>
      </c>
      <c r="E18" s="52">
        <f>D12*E17</f>
        <v>22388.26667</v>
      </c>
      <c r="F18" s="52">
        <f>D12*F17</f>
        <v>26403.42857</v>
      </c>
      <c r="G18" s="52">
        <f>D12*G17</f>
        <v>16748</v>
      </c>
    </row>
    <row r="19" ht="15.75" customHeight="1">
      <c r="A19" s="7" t="s">
        <v>101</v>
      </c>
      <c r="C19" s="53">
        <f>-F12</f>
        <v>-11013</v>
      </c>
      <c r="D19" s="53">
        <f>-F12</f>
        <v>-11013</v>
      </c>
      <c r="E19" s="53">
        <f>-F12</f>
        <v>-11013</v>
      </c>
      <c r="F19" s="53">
        <f>-F12</f>
        <v>-11013</v>
      </c>
      <c r="G19" s="53">
        <f>-F12</f>
        <v>-11013</v>
      </c>
    </row>
    <row r="20" ht="15.75" customHeight="1">
      <c r="A20" s="20" t="s">
        <v>49</v>
      </c>
      <c r="B20" s="22"/>
      <c r="C20" s="54">
        <f t="shared" ref="C20:G20" si="6">C18+C19</f>
        <v>15147.29518</v>
      </c>
      <c r="D20" s="54">
        <f t="shared" si="6"/>
        <v>14265.0714</v>
      </c>
      <c r="E20" s="54">
        <f t="shared" si="6"/>
        <v>11375.26667</v>
      </c>
      <c r="F20" s="54">
        <f t="shared" si="6"/>
        <v>15390.42857</v>
      </c>
      <c r="G20" s="54">
        <f t="shared" si="6"/>
        <v>5735</v>
      </c>
    </row>
    <row r="21" ht="15.75" customHeight="1">
      <c r="A21" s="20" t="s">
        <v>147</v>
      </c>
      <c r="B21" s="22"/>
      <c r="C21" s="29">
        <f>IF(C20&lt;0,0,C20/G12)</f>
        <v>2.641202298</v>
      </c>
      <c r="D21" s="29">
        <f>IF(D20&lt;0,0,D20/G12)</f>
        <v>2.487370776</v>
      </c>
      <c r="E21" s="29">
        <f>IF(E20&lt;0,0,E20/G12)</f>
        <v>1.983481546</v>
      </c>
      <c r="F21" s="29">
        <f>IF(F20&lt;0,0,F20/G12)</f>
        <v>2.683596961</v>
      </c>
      <c r="G21" s="29">
        <f>IF(G20&lt;0,0,G20/G12)</f>
        <v>1</v>
      </c>
      <c r="H21" s="23" t="s">
        <v>148</v>
      </c>
    </row>
    <row r="22" ht="15.75" customHeight="1">
      <c r="A22" s="18" t="s">
        <v>149</v>
      </c>
      <c r="C22" s="19">
        <f t="shared" ref="C22:G22" si="7">IF(C21=0,0,C21/31-1)</f>
        <v>-0.9147999259</v>
      </c>
      <c r="D22" s="19">
        <f t="shared" si="7"/>
        <v>-0.919762233</v>
      </c>
      <c r="E22" s="19">
        <f t="shared" si="7"/>
        <v>-0.9360167243</v>
      </c>
      <c r="F22" s="19">
        <f t="shared" si="7"/>
        <v>-0.9134323561</v>
      </c>
      <c r="G22" s="19">
        <f t="shared" si="7"/>
        <v>-0.9677419355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L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A7517"/>
    <pageSetUpPr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22.0"/>
    <col customWidth="1" min="3" max="3" width="10.0"/>
    <col customWidth="1" min="4" max="5" width="14.0"/>
    <col customWidth="1" min="6" max="7" width="12.0"/>
    <col customWidth="1" min="8" max="8" width="19.71"/>
    <col customWidth="1" min="9" max="9" width="37.86"/>
    <col customWidth="1" min="10" max="26" width="8.71"/>
  </cols>
  <sheetData>
    <row r="1" ht="21.75" customHeight="1">
      <c r="A1" s="1" t="s">
        <v>150</v>
      </c>
      <c r="B1" s="2"/>
      <c r="C1" s="2"/>
      <c r="D1" s="2"/>
      <c r="E1" s="2"/>
      <c r="F1" s="2"/>
      <c r="G1" s="2"/>
      <c r="H1" s="2"/>
      <c r="I1" s="3"/>
    </row>
    <row r="2" ht="13.5" customHeight="1">
      <c r="A2" s="4" t="s">
        <v>151</v>
      </c>
      <c r="B2" s="2"/>
      <c r="C2" s="2"/>
      <c r="D2" s="2"/>
      <c r="E2" s="2"/>
      <c r="F2" s="2"/>
      <c r="G2" s="2"/>
      <c r="H2" s="2"/>
      <c r="I2" s="3"/>
    </row>
    <row r="4" ht="15.75" customHeight="1">
      <c r="A4" s="15" t="s">
        <v>152</v>
      </c>
      <c r="B4" s="15" t="s">
        <v>153</v>
      </c>
      <c r="C4" s="13" t="s">
        <v>154</v>
      </c>
      <c r="D4" s="13" t="s">
        <v>155</v>
      </c>
      <c r="E4" s="13" t="s">
        <v>83</v>
      </c>
      <c r="F4" s="13" t="s">
        <v>120</v>
      </c>
      <c r="G4" s="13" t="s">
        <v>156</v>
      </c>
      <c r="H4" s="55" t="s">
        <v>157</v>
      </c>
      <c r="I4" s="55" t="s">
        <v>74</v>
      </c>
    </row>
    <row r="5" ht="15.75" customHeight="1">
      <c r="A5" s="45" t="s">
        <v>158</v>
      </c>
      <c r="B5" s="45" t="s">
        <v>159</v>
      </c>
      <c r="C5" s="56" t="s">
        <v>160</v>
      </c>
      <c r="D5" s="57">
        <v>16748.0</v>
      </c>
      <c r="E5" s="57">
        <v>3624.0</v>
      </c>
      <c r="F5" s="49">
        <f>D5/E5</f>
        <v>4.621412804</v>
      </c>
      <c r="G5" s="56" t="s">
        <v>161</v>
      </c>
      <c r="H5" s="45" t="s">
        <v>162</v>
      </c>
      <c r="I5" s="45" t="s">
        <v>163</v>
      </c>
    </row>
    <row r="6" ht="15.75" customHeight="1">
      <c r="A6" s="7" t="s">
        <v>164</v>
      </c>
      <c r="B6" s="7" t="s">
        <v>158</v>
      </c>
      <c r="C6" s="58" t="s">
        <v>165</v>
      </c>
      <c r="D6" s="38">
        <v>3693.0</v>
      </c>
      <c r="G6" s="58" t="s">
        <v>166</v>
      </c>
      <c r="H6" s="7" t="s">
        <v>167</v>
      </c>
      <c r="I6" s="7" t="s">
        <v>168</v>
      </c>
    </row>
    <row r="7" ht="15.75" customHeight="1">
      <c r="A7" s="7" t="s">
        <v>169</v>
      </c>
      <c r="B7" s="7" t="s">
        <v>170</v>
      </c>
      <c r="C7" s="58" t="s">
        <v>165</v>
      </c>
      <c r="D7" s="38">
        <v>1625.0</v>
      </c>
      <c r="F7" s="58" t="s">
        <v>171</v>
      </c>
      <c r="G7" s="58" t="s">
        <v>166</v>
      </c>
      <c r="H7" s="7" t="s">
        <v>172</v>
      </c>
      <c r="I7" s="7" t="s">
        <v>173</v>
      </c>
    </row>
    <row r="8" ht="15.75" customHeight="1">
      <c r="A8" s="7" t="s">
        <v>174</v>
      </c>
      <c r="B8" s="7" t="s">
        <v>175</v>
      </c>
      <c r="C8" s="58" t="s">
        <v>165</v>
      </c>
      <c r="D8" s="38">
        <v>5650.0</v>
      </c>
      <c r="F8" s="58" t="s">
        <v>176</v>
      </c>
      <c r="G8" s="58" t="s">
        <v>166</v>
      </c>
      <c r="H8" s="7" t="s">
        <v>177</v>
      </c>
      <c r="I8" s="7" t="s">
        <v>178</v>
      </c>
    </row>
    <row r="9" ht="15.75" customHeight="1">
      <c r="A9" s="7" t="s">
        <v>179</v>
      </c>
      <c r="B9" s="7" t="s">
        <v>180</v>
      </c>
      <c r="C9" s="58" t="s">
        <v>181</v>
      </c>
      <c r="D9" s="38">
        <v>6250.0</v>
      </c>
      <c r="F9" s="58" t="s">
        <v>182</v>
      </c>
      <c r="G9" s="58" t="s">
        <v>166</v>
      </c>
      <c r="H9" s="7" t="s">
        <v>183</v>
      </c>
      <c r="I9" s="7" t="s">
        <v>184</v>
      </c>
    </row>
    <row r="10" ht="15.75" customHeight="1">
      <c r="A10" s="7" t="s">
        <v>185</v>
      </c>
      <c r="B10" s="7" t="s">
        <v>186</v>
      </c>
      <c r="C10" s="58" t="s">
        <v>187</v>
      </c>
      <c r="D10" s="38">
        <v>17300.0</v>
      </c>
      <c r="F10" s="58" t="s">
        <v>188</v>
      </c>
      <c r="G10" s="58" t="s">
        <v>189</v>
      </c>
      <c r="H10" s="7" t="s">
        <v>190</v>
      </c>
      <c r="I10" s="7" t="s">
        <v>191</v>
      </c>
    </row>
    <row r="11" ht="15.75" customHeight="1">
      <c r="A11" s="7" t="s">
        <v>192</v>
      </c>
      <c r="B11" s="7" t="s">
        <v>193</v>
      </c>
      <c r="C11" s="58" t="s">
        <v>187</v>
      </c>
      <c r="D11" s="38">
        <v>4600.0</v>
      </c>
      <c r="F11" s="58" t="s">
        <v>194</v>
      </c>
      <c r="G11" s="58" t="s">
        <v>166</v>
      </c>
      <c r="H11" s="7" t="s">
        <v>177</v>
      </c>
      <c r="I11" s="7" t="s">
        <v>195</v>
      </c>
    </row>
    <row r="12" ht="15.75" customHeight="1">
      <c r="A12" s="7" t="s">
        <v>196</v>
      </c>
      <c r="B12" s="7" t="s">
        <v>197</v>
      </c>
      <c r="C12" s="58" t="s">
        <v>165</v>
      </c>
      <c r="D12" s="38">
        <v>615.0</v>
      </c>
      <c r="F12" s="58" t="s">
        <v>198</v>
      </c>
      <c r="G12" s="58" t="s">
        <v>199</v>
      </c>
      <c r="H12" s="7" t="s">
        <v>200</v>
      </c>
      <c r="I12" s="7" t="s">
        <v>201</v>
      </c>
    </row>
    <row r="13" ht="15.75" customHeight="1">
      <c r="A13" s="7" t="s">
        <v>202</v>
      </c>
      <c r="B13" s="7" t="s">
        <v>203</v>
      </c>
      <c r="C13" s="58" t="s">
        <v>204</v>
      </c>
      <c r="D13" s="38">
        <v>2800.0</v>
      </c>
      <c r="F13" s="58" t="s">
        <v>198</v>
      </c>
      <c r="G13" s="58" t="s">
        <v>205</v>
      </c>
      <c r="H13" s="7" t="s">
        <v>206</v>
      </c>
      <c r="I13" s="7" t="s">
        <v>207</v>
      </c>
    </row>
    <row r="16" ht="15.75" customHeight="1">
      <c r="A16" s="5" t="s">
        <v>208</v>
      </c>
      <c r="B16" s="6"/>
      <c r="C16" s="6"/>
      <c r="D16" s="6"/>
      <c r="E16" s="6"/>
      <c r="F16" s="6"/>
      <c r="G16" s="6"/>
      <c r="H16" s="6"/>
      <c r="I16" s="6"/>
    </row>
    <row r="17" ht="39.75" customHeight="1">
      <c r="A17" s="59" t="s">
        <v>209</v>
      </c>
    </row>
    <row r="19" ht="15.75" customHeight="1">
      <c r="A19" s="15"/>
      <c r="B19" s="13" t="s">
        <v>210</v>
      </c>
      <c r="C19" s="13" t="s">
        <v>211</v>
      </c>
      <c r="D19" s="13" t="s">
        <v>212</v>
      </c>
      <c r="E19" s="13" t="s">
        <v>213</v>
      </c>
    </row>
    <row r="20" ht="15.75" customHeight="1">
      <c r="A20" s="7" t="s">
        <v>214</v>
      </c>
      <c r="B20" s="12">
        <v>8.0</v>
      </c>
      <c r="C20" s="12">
        <v>9.0</v>
      </c>
      <c r="D20" s="12">
        <v>10.0</v>
      </c>
      <c r="E20" s="12">
        <v>8.91</v>
      </c>
    </row>
    <row r="21" ht="15.75" customHeight="1">
      <c r="A21" s="7" t="s">
        <v>146</v>
      </c>
      <c r="B21" s="52">
        <f>Assumptions!B5*B20</f>
        <v>28992</v>
      </c>
      <c r="C21" s="52">
        <f>Assumptions!B5*C20</f>
        <v>32616</v>
      </c>
      <c r="D21" s="52">
        <f>Assumptions!B5*D20</f>
        <v>36240</v>
      </c>
      <c r="E21" s="52">
        <f>Assumptions!B5*E20</f>
        <v>32289.84</v>
      </c>
    </row>
    <row r="22" ht="15.75" customHeight="1">
      <c r="A22" s="7" t="s">
        <v>101</v>
      </c>
      <c r="B22" s="53">
        <f>-Assumptions!B11</f>
        <v>-11013</v>
      </c>
      <c r="C22" s="53">
        <f>-Assumptions!B11</f>
        <v>-11013</v>
      </c>
      <c r="D22" s="53">
        <f>-Assumptions!B11</f>
        <v>-11013</v>
      </c>
      <c r="E22" s="53">
        <f>-Assumptions!B11</f>
        <v>-11013</v>
      </c>
    </row>
    <row r="23" ht="15.75" customHeight="1">
      <c r="A23" s="20" t="s">
        <v>49</v>
      </c>
      <c r="B23" s="54">
        <f t="shared" ref="B23:E23" si="1">B21+B22</f>
        <v>17979</v>
      </c>
      <c r="C23" s="54">
        <f t="shared" si="1"/>
        <v>21603</v>
      </c>
      <c r="D23" s="54">
        <f t="shared" si="1"/>
        <v>25227</v>
      </c>
      <c r="E23" s="54">
        <f t="shared" si="1"/>
        <v>21276.84</v>
      </c>
    </row>
    <row r="24" ht="15.75" customHeight="1">
      <c r="A24" s="20" t="s">
        <v>147</v>
      </c>
      <c r="B24" s="29">
        <f>IF(B23&lt;0,0,B23/Assumptions!B12)</f>
        <v>97.18378378</v>
      </c>
      <c r="C24" s="29">
        <f>IF(C23&lt;0,0,C23/Assumptions!B12)</f>
        <v>116.772973</v>
      </c>
      <c r="D24" s="29">
        <f>IF(D23&lt;0,0,D23/Assumptions!B12)</f>
        <v>136.3621622</v>
      </c>
      <c r="E24" s="29">
        <f>IF(E23&lt;0,0,E23/Assumptions!B12)</f>
        <v>115.0099459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17:I1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4AB7"/>
    <pageSetUpPr/>
  </sheetPr>
  <sheetViews>
    <sheetView showGridLines="0" workbookViewId="0"/>
  </sheetViews>
  <sheetFormatPr customHeight="1" defaultColWidth="14.43" defaultRowHeight="15.0"/>
  <cols>
    <col customWidth="1" min="1" max="1" width="39.57"/>
    <col customWidth="1" min="2" max="4" width="12.0"/>
    <col customWidth="1" min="5" max="5" width="52.57"/>
    <col customWidth="1" min="6" max="26" width="8.71"/>
  </cols>
  <sheetData>
    <row r="1" ht="21.75" customHeight="1">
      <c r="A1" s="1" t="s">
        <v>215</v>
      </c>
      <c r="B1" s="2"/>
      <c r="C1" s="2"/>
      <c r="D1" s="2"/>
      <c r="E1" s="3"/>
    </row>
    <row r="2" ht="13.5" customHeight="1">
      <c r="A2" s="4" t="s">
        <v>216</v>
      </c>
      <c r="B2" s="2"/>
      <c r="C2" s="2"/>
      <c r="D2" s="2"/>
      <c r="E2" s="3"/>
    </row>
    <row r="3" ht="15.75" customHeight="1">
      <c r="A3" s="5" t="s">
        <v>217</v>
      </c>
      <c r="B3" s="6"/>
      <c r="C3" s="6"/>
      <c r="D3" s="6"/>
      <c r="E3" s="6"/>
    </row>
    <row r="4" ht="15.75" customHeight="1">
      <c r="A4" s="15" t="s">
        <v>218</v>
      </c>
      <c r="B4" s="13" t="s">
        <v>219</v>
      </c>
      <c r="C4" s="13" t="s">
        <v>220</v>
      </c>
      <c r="D4" s="13" t="s">
        <v>221</v>
      </c>
      <c r="E4" s="55" t="s">
        <v>74</v>
      </c>
    </row>
    <row r="5" ht="15.75" customHeight="1">
      <c r="A5" s="7" t="s">
        <v>222</v>
      </c>
      <c r="B5" s="60">
        <f>'DCF Valuation'!B45</f>
        <v>267.0424113</v>
      </c>
      <c r="C5" s="60">
        <f>'DCF Valuation'!B37</f>
        <v>212.5587663</v>
      </c>
      <c r="D5" s="60">
        <f>'DCF Valuation'!D45</f>
        <v>212.5587663</v>
      </c>
      <c r="E5" s="61" t="s">
        <v>223</v>
      </c>
    </row>
    <row r="6" ht="15.75" customHeight="1">
      <c r="A6" s="7" t="s">
        <v>224</v>
      </c>
      <c r="B6" s="60">
        <f>'Trading Comps'!E21</f>
        <v>1.983481546</v>
      </c>
      <c r="C6" s="60">
        <f>'Trading Comps'!D21</f>
        <v>2.487370776</v>
      </c>
      <c r="D6" s="60">
        <f>'Trading Comps'!F21</f>
        <v>2.683596961</v>
      </c>
      <c r="E6" s="61" t="s">
        <v>225</v>
      </c>
    </row>
    <row r="7" ht="15.75" customHeight="1">
      <c r="A7" s="7" t="s">
        <v>226</v>
      </c>
      <c r="B7" s="60">
        <f>'Precedent Transactions'!B24</f>
        <v>97.18378378</v>
      </c>
      <c r="C7" s="60">
        <f>'Precedent Transactions'!C24</f>
        <v>116.772973</v>
      </c>
      <c r="D7" s="60">
        <f>'Precedent Transactions'!D24</f>
        <v>136.3621622</v>
      </c>
      <c r="E7" s="61" t="s">
        <v>227</v>
      </c>
    </row>
    <row r="8" ht="15.75" customHeight="1">
      <c r="A8" s="45" t="s">
        <v>228</v>
      </c>
      <c r="B8" s="62">
        <f>Assumptions!B29</f>
        <v>31</v>
      </c>
      <c r="C8" s="62">
        <f>Assumptions!B29</f>
        <v>31</v>
      </c>
      <c r="D8" s="62">
        <f>Assumptions!B29</f>
        <v>31</v>
      </c>
      <c r="E8" s="63" t="s">
        <v>229</v>
      </c>
    </row>
    <row r="10" ht="15.75" customHeight="1">
      <c r="A10" s="5" t="s">
        <v>230</v>
      </c>
      <c r="B10" s="6"/>
      <c r="C10" s="6"/>
      <c r="D10" s="6"/>
      <c r="E10" s="6"/>
    </row>
    <row r="11" ht="15.75" customHeight="1">
      <c r="A11" s="7" t="s">
        <v>231</v>
      </c>
      <c r="B11" s="64">
        <f>MIN(B5:B7)</f>
        <v>1.983481546</v>
      </c>
    </row>
    <row r="12" ht="15.75" customHeight="1">
      <c r="A12" s="7" t="s">
        <v>232</v>
      </c>
      <c r="B12" s="64">
        <f>MAX(D5:D7)</f>
        <v>212.5587663</v>
      </c>
    </row>
    <row r="13" ht="15.75" customHeight="1">
      <c r="A13" s="20" t="s">
        <v>233</v>
      </c>
      <c r="B13" s="29">
        <f>AVERAGE(C5:C7)</f>
        <v>110.60637</v>
      </c>
      <c r="C13" s="22"/>
      <c r="D13" s="22"/>
    </row>
    <row r="14" ht="15.75" customHeight="1">
      <c r="A14" s="7" t="s">
        <v>234</v>
      </c>
      <c r="B14" s="65">
        <f>B8/C5-1</f>
        <v>-0.8541579793</v>
      </c>
    </row>
    <row r="15" ht="15.75" customHeight="1">
      <c r="A15" s="7" t="s">
        <v>235</v>
      </c>
      <c r="B15" s="65">
        <f>B8/C6-1</f>
        <v>11.462959</v>
      </c>
    </row>
    <row r="18" ht="54.75" customHeight="1">
      <c r="A18" s="59" t="s">
        <v>236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8:E2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31.86"/>
    <col customWidth="1" min="3" max="3" width="51.14"/>
    <col customWidth="1" min="4" max="26" width="8.71"/>
  </cols>
  <sheetData>
    <row r="1" ht="21.75" customHeight="1">
      <c r="A1" s="1" t="s">
        <v>237</v>
      </c>
      <c r="B1" s="2"/>
      <c r="C1" s="3"/>
    </row>
    <row r="2" ht="13.5" customHeight="1">
      <c r="A2" s="4" t="s">
        <v>238</v>
      </c>
      <c r="B2" s="2"/>
      <c r="C2" s="3"/>
    </row>
    <row r="3" ht="15.75" customHeight="1">
      <c r="A3" s="5" t="s">
        <v>239</v>
      </c>
      <c r="B3" s="6"/>
      <c r="C3" s="6"/>
    </row>
    <row r="4" ht="15.75" customHeight="1">
      <c r="A4" s="7" t="s">
        <v>47</v>
      </c>
      <c r="B4" s="66">
        <f>Assumptions!B29</f>
        <v>31</v>
      </c>
      <c r="C4" s="17" t="s">
        <v>240</v>
      </c>
    </row>
    <row r="5" ht="15.75" customHeight="1">
      <c r="A5" s="7" t="s">
        <v>49</v>
      </c>
      <c r="B5" s="67">
        <f>Assumptions!B30</f>
        <v>5735</v>
      </c>
      <c r="C5" s="17" t="s">
        <v>50</v>
      </c>
    </row>
    <row r="6" ht="15.75" customHeight="1">
      <c r="A6" s="7" t="s">
        <v>51</v>
      </c>
      <c r="B6" s="67">
        <f>Assumptions!B31</f>
        <v>16748</v>
      </c>
      <c r="C6" s="17" t="s">
        <v>241</v>
      </c>
    </row>
    <row r="7" ht="15.75" customHeight="1">
      <c r="A7" s="7" t="s">
        <v>242</v>
      </c>
      <c r="B7" s="68">
        <f>Assumptions!B32</f>
        <v>8.91</v>
      </c>
      <c r="C7" s="17" t="s">
        <v>243</v>
      </c>
    </row>
    <row r="8" ht="15.75" customHeight="1">
      <c r="A8" s="7" t="s">
        <v>244</v>
      </c>
      <c r="B8" s="69">
        <f>Assumptions!B33</f>
        <v>0.49</v>
      </c>
      <c r="C8" s="17" t="s">
        <v>245</v>
      </c>
    </row>
    <row r="9" ht="15.75" customHeight="1">
      <c r="A9" s="7" t="s">
        <v>246</v>
      </c>
      <c r="B9" s="69">
        <f>Assumptions!B34</f>
        <v>0.46</v>
      </c>
      <c r="C9" s="17" t="s">
        <v>247</v>
      </c>
    </row>
    <row r="10" ht="15.75" customHeight="1">
      <c r="A10" s="7" t="s">
        <v>248</v>
      </c>
      <c r="B10" s="70" t="s">
        <v>249</v>
      </c>
      <c r="C10" s="17" t="s">
        <v>250</v>
      </c>
    </row>
    <row r="11" ht="15.75" customHeight="1">
      <c r="A11" s="7" t="s">
        <v>251</v>
      </c>
      <c r="B11" s="70" t="s">
        <v>252</v>
      </c>
      <c r="C11" s="17" t="s">
        <v>253</v>
      </c>
    </row>
    <row r="12" ht="15.75" customHeight="1">
      <c r="A12" s="7" t="s">
        <v>254</v>
      </c>
      <c r="B12" s="70" t="s">
        <v>255</v>
      </c>
      <c r="C12" s="17" t="s">
        <v>256</v>
      </c>
    </row>
    <row r="13" ht="15.75" customHeight="1">
      <c r="A13" s="7" t="s">
        <v>257</v>
      </c>
      <c r="B13" s="70" t="s">
        <v>258</v>
      </c>
      <c r="C13" s="17" t="s">
        <v>259</v>
      </c>
    </row>
    <row r="14" ht="15.75" customHeight="1">
      <c r="A14" s="7" t="s">
        <v>260</v>
      </c>
      <c r="B14" s="70" t="s">
        <v>261</v>
      </c>
      <c r="C14" s="17" t="s">
        <v>262</v>
      </c>
    </row>
    <row r="16" ht="15.75" customHeight="1">
      <c r="A16" s="5" t="s">
        <v>263</v>
      </c>
      <c r="B16" s="6"/>
      <c r="C16" s="6"/>
    </row>
    <row r="17" ht="15.75" customHeight="1">
      <c r="A17" s="15" t="s">
        <v>218</v>
      </c>
      <c r="B17" s="13" t="s">
        <v>264</v>
      </c>
      <c r="C17" s="55" t="s">
        <v>265</v>
      </c>
    </row>
    <row r="18" ht="15.75" customHeight="1">
      <c r="A18" s="7" t="s">
        <v>266</v>
      </c>
      <c r="B18" s="70" t="s">
        <v>267</v>
      </c>
      <c r="C18" s="17" t="s">
        <v>268</v>
      </c>
    </row>
    <row r="19" ht="15.75" customHeight="1">
      <c r="A19" s="7" t="s">
        <v>269</v>
      </c>
      <c r="B19" s="70" t="s">
        <v>270</v>
      </c>
      <c r="C19" s="17" t="s">
        <v>271</v>
      </c>
    </row>
    <row r="20" ht="15.75" customHeight="1">
      <c r="A20" s="7" t="s">
        <v>272</v>
      </c>
      <c r="B20" s="70" t="s">
        <v>273</v>
      </c>
      <c r="C20" s="17" t="s">
        <v>274</v>
      </c>
    </row>
    <row r="21" ht="15.75" customHeight="1"/>
    <row r="22" ht="15.75" customHeight="1">
      <c r="A22" s="5" t="s">
        <v>275</v>
      </c>
      <c r="B22" s="6"/>
      <c r="C22" s="6"/>
    </row>
    <row r="23" ht="30.0" customHeight="1">
      <c r="A23" s="71" t="s">
        <v>276</v>
      </c>
    </row>
    <row r="24" ht="30.0" customHeight="1">
      <c r="A24" s="71" t="s">
        <v>277</v>
      </c>
    </row>
    <row r="25" ht="30.0" customHeight="1">
      <c r="A25" s="71" t="s">
        <v>278</v>
      </c>
    </row>
    <row r="26" ht="30.0" customHeight="1">
      <c r="A26" s="71" t="s">
        <v>279</v>
      </c>
    </row>
    <row r="27" ht="30.0" customHeight="1">
      <c r="A27" s="71" t="s">
        <v>280</v>
      </c>
    </row>
    <row r="28" ht="15.75" customHeight="1"/>
    <row r="29" ht="30.0" customHeight="1">
      <c r="A29" s="72" t="s">
        <v>281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2:C2"/>
    <mergeCell ref="A23:C23"/>
    <mergeCell ref="A24:C24"/>
    <mergeCell ref="A25:C25"/>
    <mergeCell ref="A26:C26"/>
    <mergeCell ref="A27:C27"/>
    <mergeCell ref="A29:C30"/>
  </mergeCells>
  <printOptions/>
  <pageMargins bottom="1.0" footer="0.0" header="0.0" left="0.75" right="0.75" top="1.0"/>
  <pageSetup orientation="landscape"/>
  <drawing r:id="rId1"/>
</worksheet>
</file>